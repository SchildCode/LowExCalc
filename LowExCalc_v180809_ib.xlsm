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25" codeName="{A93C3448-2578-E12B-C58C-25EFAD1D314E}"/>
  <workbookPr codeName="ThisWorkbook"/>
  <mc:AlternateContent xmlns:mc="http://schemas.openxmlformats.org/markup-compatibility/2006">
    <mc:Choice Requires="x15">
      <x15ac:absPath xmlns:x15ac="http://schemas.microsoft.com/office/spreadsheetml/2010/11/ac" url="P:\_Data\Physics\LowExCalc\"/>
    </mc:Choice>
  </mc:AlternateContent>
  <xr:revisionPtr revIDLastSave="0" documentId="13_ncr:1_{F9B00B35-D119-4506-89A7-D2F25B1B9203}" xr6:coauthVersionLast="34" xr6:coauthVersionMax="34" xr10:uidLastSave="{00000000-0000-0000-0000-000000000000}"/>
  <bookViews>
    <workbookView xWindow="480" yWindow="30" windowWidth="12120" windowHeight="9120" xr2:uid="{00000000-000D-0000-FFFF-FFFF00000000}"/>
  </bookViews>
  <sheets>
    <sheet name="Design" sheetId="7" r:id="rId1"/>
    <sheet name="Draw" sheetId="18" r:id="rId2"/>
    <sheet name="Materials_library" sheetId="6" r:id="rId3"/>
    <sheet name="Tube+Cable_library" sheetId="14" r:id="rId4"/>
    <sheet name="Surface_library" sheetId="19" r:id="rId5"/>
  </sheets>
  <functionGroups builtInGroupCount="19"/>
  <definedNames>
    <definedName name="Conduit_data">'Tube+Cable_library'!$B$2:$D$20</definedName>
    <definedName name="Conduit_ID">'Tube+Cable_library'!$A$2:$A$20</definedName>
    <definedName name="draw_Labelling">Draw!$E$3</definedName>
    <definedName name="inp_area">Design!$C$5</definedName>
    <definedName name="inp_ccSpacing">Design!$C$9</definedName>
    <definedName name="inp_conductLayerRow">Design!$B$27</definedName>
    <definedName name="inp_conduitDepth">Design!$C$10</definedName>
    <definedName name="inp_conduitTable">Design!$B$13:$G$16</definedName>
    <definedName name="inp_conduitType">Design!$A$9</definedName>
    <definedName name="inp_constructTable">Design!$B$21:$G$33</definedName>
    <definedName name="inp_diameter">Design!$C$11</definedName>
    <definedName name="inp_flowrate">Design!$C$8</definedName>
    <definedName name="inp_fractionConducting">Design!$C$6</definedName>
    <definedName name="inp_surfaceType">Design!$C$4</definedName>
    <definedName name="inp_systemType">Design!$C$3</definedName>
    <definedName name="inp_Tdown">Design!$B$35</definedName>
    <definedName name="inp_Tin">Design!$C$7</definedName>
    <definedName name="inp_Tin_units">Design!$D$7</definedName>
    <definedName name="inp_Tup">Design!$B$19</definedName>
    <definedName name="Mat_lib" localSheetId="4">Surface_library!$A$1</definedName>
    <definedName name="Material_data">Materials_library!$B$2:$D$120</definedName>
    <definedName name="Material_ID">Materials_library!$A$2:$A$120</definedName>
    <definedName name="Materials" localSheetId="4">Surface_library!$A$2:$C$19</definedName>
    <definedName name="out_all">Design!$J$7:$J$36</definedName>
    <definedName name="out_comments">Design!$I$3</definedName>
    <definedName name="out_geoBmm">Design!$J$9</definedName>
    <definedName name="out_geoDi">Design!$J$11</definedName>
    <definedName name="out_geoFinK">Design!$J$10</definedName>
    <definedName name="out_geoLen">Design!$J$8</definedName>
    <definedName name="out_insideConduct">Design!$J$26</definedName>
    <definedName name="out_insideConduit">Design!$J$27</definedName>
    <definedName name="out_perfFinEff">Design!$J$7</definedName>
    <definedName name="out_perfLoss">Design!$J$18</definedName>
    <definedName name="out_perfNetWm2">Design!$J$17</definedName>
    <definedName name="out_perfThermEff">Design!$J$16</definedName>
    <definedName name="out_perfW">Design!$J$14</definedName>
    <definedName name="out_perfWm2">Design!$J$15</definedName>
    <definedName name="out_surfDT">Design!$J$23</definedName>
    <definedName name="out_surfMax">Design!$J$22</definedName>
    <definedName name="out_surfMean">Design!$J$21</definedName>
    <definedName name="out_waterDp">Design!$J$32</definedName>
    <definedName name="out_waterDT">Design!$J$34</definedName>
    <definedName name="out_waterPtot">Design!$J$33</definedName>
    <definedName name="out_waterRe">Design!$J$31</definedName>
    <definedName name="out_waterTo">Design!$J$35</definedName>
    <definedName name="out_waterVel">Design!$J$30</definedName>
    <definedName name="_xlnm.Print_Area" localSheetId="0">Design!$A$1:$K$36</definedName>
    <definedName name="_xlnm.Print_Area" localSheetId="1">Draw!$4:$39</definedName>
    <definedName name="Qnet_firstguess">Design!#REF!</definedName>
    <definedName name="solver_adj" localSheetId="0" hidden="1">Design!#REF!</definedName>
    <definedName name="solver_cvg" localSheetId="0" hidden="1">0.0001</definedName>
    <definedName name="solver_drv" localSheetId="0" hidden="1">1</definedName>
    <definedName name="solver_est" localSheetId="0" hidden="1">2</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Design!#REF!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0.02</definedName>
    <definedName name="solver_typ" localSheetId="0" hidden="1">2</definedName>
    <definedName name="solver_val" localSheetId="0" hidden="1">0</definedName>
    <definedName name="Surface_data">Surface_library!$B$2:$D$20</definedName>
    <definedName name="Surface_ID">Surface_library!$A$2:$A$20</definedName>
  </definedNames>
  <calcPr calcId="179021"/>
</workbook>
</file>

<file path=xl/calcChain.xml><?xml version="1.0" encoding="utf-8"?>
<calcChain xmlns="http://schemas.openxmlformats.org/spreadsheetml/2006/main">
  <c r="B35" i="7" l="1"/>
  <c r="G35" i="7" l="1"/>
  <c r="C6" i="7"/>
  <c r="C7" i="14" l="1"/>
  <c r="C6" i="14"/>
  <c r="A9" i="7"/>
  <c r="B5" i="7" s="1"/>
  <c r="E9" i="7"/>
  <c r="I10" i="7" s="1"/>
  <c r="D5" i="7"/>
  <c r="E7" i="7"/>
  <c r="D4" i="7"/>
  <c r="D11" i="7"/>
  <c r="D10" i="7"/>
  <c r="D3" i="7"/>
  <c r="A18" i="7"/>
  <c r="H29" i="7"/>
  <c r="H25" i="7"/>
  <c r="H20" i="7"/>
  <c r="H13" i="7"/>
  <c r="C17" i="7"/>
  <c r="D17" i="7" s="1"/>
  <c r="K33" i="7"/>
  <c r="I14" i="7"/>
  <c r="I17" i="7"/>
  <c r="I33" i="7"/>
  <c r="I34" i="7"/>
  <c r="I23" i="7"/>
  <c r="I22" i="7"/>
  <c r="I18" i="7"/>
  <c r="C4" i="14"/>
  <c r="C12" i="7"/>
  <c r="C3" i="14"/>
  <c r="C8" i="14"/>
  <c r="C5" i="14"/>
  <c r="A17" i="14"/>
  <c r="A15" i="14"/>
  <c r="A12" i="14"/>
  <c r="A8" i="14"/>
  <c r="D8" i="7"/>
  <c r="A35" i="7"/>
  <c r="A19" i="7"/>
  <c r="G34" i="7"/>
  <c r="F34" i="7" s="1"/>
  <c r="I11" i="7"/>
  <c r="K11" i="7"/>
  <c r="G17" i="7"/>
  <c r="F17" i="7" s="1"/>
  <c r="C20" i="7"/>
  <c r="A10" i="14"/>
  <c r="A32" i="7"/>
  <c r="A22" i="7"/>
  <c r="I21" i="7"/>
  <c r="I16" i="7"/>
  <c r="K35" i="7"/>
  <c r="I35" i="7"/>
  <c r="K34" i="7"/>
  <c r="K32" i="7"/>
  <c r="I32" i="7"/>
  <c r="I31" i="7"/>
  <c r="K30" i="7"/>
  <c r="I30" i="7"/>
  <c r="I27" i="7"/>
  <c r="B8" i="7"/>
  <c r="B6" i="7"/>
  <c r="A3" i="14" l="1"/>
  <c r="B11" i="7"/>
  <c r="B10" i="7"/>
  <c r="A9" i="14"/>
  <c r="A4" i="14"/>
  <c r="A13" i="14"/>
  <c r="I15" i="7"/>
  <c r="A13" i="7"/>
  <c r="A16" i="14"/>
  <c r="A11" i="14"/>
  <c r="A5" i="14"/>
  <c r="A14" i="14"/>
  <c r="B9" i="7"/>
  <c r="A27" i="7"/>
  <c r="I7" i="7"/>
  <c r="K9" i="7"/>
  <c r="B7" i="7"/>
  <c r="I8" i="7"/>
  <c r="K8" i="7"/>
  <c r="I9" i="7"/>
  <c r="K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C3" authorId="0" shapeId="0" xr:uid="{00000000-0006-0000-0000-000001000000}">
      <text>
        <r>
          <rPr>
            <b/>
            <sz val="10"/>
            <color indexed="8"/>
            <rFont val="Tahoma"/>
            <family val="2"/>
          </rPr>
          <t xml:space="preserve">Choose from the drop-down list:
</t>
        </r>
        <r>
          <rPr>
            <b/>
            <sz val="10"/>
            <color indexed="12"/>
            <rFont val="Tahoma"/>
            <family val="2"/>
          </rPr>
          <t>electric</t>
        </r>
        <r>
          <rPr>
            <b/>
            <sz val="10"/>
            <color indexed="8"/>
            <rFont val="Tahoma"/>
            <family val="2"/>
          </rPr>
          <t xml:space="preserve"> = electric heating cables or mats.
</t>
        </r>
        <r>
          <rPr>
            <b/>
            <sz val="10"/>
            <color indexed="12"/>
            <rFont val="Tahoma"/>
            <family val="2"/>
          </rPr>
          <t>hydronic</t>
        </r>
        <r>
          <rPr>
            <b/>
            <sz val="10"/>
            <color indexed="8"/>
            <rFont val="Tahoma"/>
            <family val="2"/>
          </rPr>
          <t xml:space="preserve"> = water-borne heating/cooling in tubes.</t>
        </r>
      </text>
    </comment>
    <comment ref="C4" authorId="0" shapeId="0" xr:uid="{00000000-0006-0000-0000-000002000000}">
      <text>
        <r>
          <rPr>
            <b/>
            <sz val="10"/>
            <color indexed="8"/>
            <rFont val="Tahoma"/>
            <family val="2"/>
          </rPr>
          <t xml:space="preserve">This is the orientation of the active heating/cooling surface.
Choose one from the drop-down list: </t>
        </r>
        <r>
          <rPr>
            <b/>
            <sz val="10"/>
            <color indexed="12"/>
            <rFont val="Tahoma"/>
            <family val="2"/>
          </rPr>
          <t xml:space="preserve">Floor, Ceiling, </t>
        </r>
        <r>
          <rPr>
            <b/>
            <sz val="10"/>
            <color indexed="81"/>
            <rFont val="Tahoma"/>
            <family val="2"/>
          </rPr>
          <t xml:space="preserve">or </t>
        </r>
        <r>
          <rPr>
            <b/>
            <sz val="10"/>
            <color indexed="12"/>
            <rFont val="Tahoma"/>
            <family val="2"/>
          </rPr>
          <t>Wall</t>
        </r>
        <r>
          <rPr>
            <b/>
            <sz val="10"/>
            <color indexed="8"/>
            <rFont val="Tahoma"/>
            <family val="2"/>
          </rPr>
          <t>.</t>
        </r>
      </text>
    </comment>
    <comment ref="C5" authorId="0" shapeId="0" xr:uid="{00000000-0006-0000-0000-000003000000}">
      <text>
        <r>
          <rPr>
            <b/>
            <sz val="10"/>
            <color indexed="8"/>
            <rFont val="Tahoma"/>
            <family val="2"/>
          </rPr>
          <t xml:space="preserve">Area of floor/ceiling/wall that has embedded water tubes or
electric cables.
If the system covers only a small part of the floor/ceiling/wall, 
then enter this area, not the whole floor/ceiling/wall area.
For </t>
        </r>
        <r>
          <rPr>
            <b/>
            <sz val="10"/>
            <color indexed="12"/>
            <rFont val="Tahoma"/>
            <family val="2"/>
          </rPr>
          <t>hydronic</t>
        </r>
        <r>
          <rPr>
            <b/>
            <sz val="10"/>
            <color indexed="8"/>
            <rFont val="Tahoma"/>
            <family val="2"/>
          </rPr>
          <t xml:space="preserve"> systems this is the area covered by </t>
        </r>
        <r>
          <rPr>
            <b/>
            <u/>
            <sz val="10"/>
            <color indexed="8"/>
            <rFont val="Tahoma"/>
            <family val="2"/>
          </rPr>
          <t>one</t>
        </r>
        <r>
          <rPr>
            <b/>
            <sz val="10"/>
            <color indexed="8"/>
            <rFont val="Tahoma"/>
            <family val="2"/>
          </rPr>
          <t xml:space="preserve"> tube, and is
used to calculate the length of tubing, hence the pressure drop
and temperature drop. If the floor is covered by many tubes 
connected in series, then specify here the area covered by the 
longest tube.
For </t>
        </r>
        <r>
          <rPr>
            <b/>
            <sz val="10"/>
            <color indexed="12"/>
            <rFont val="Tahoma"/>
            <family val="2"/>
          </rPr>
          <t>electric</t>
        </r>
        <r>
          <rPr>
            <b/>
            <sz val="10"/>
            <color indexed="8"/>
            <rFont val="Tahoma"/>
            <family val="2"/>
          </rPr>
          <t xml:space="preserve"> systems, this area is not essential for the calculations;
if it is left blank, then some of the output calculations will be blank.</t>
        </r>
      </text>
    </comment>
    <comment ref="C6" authorId="0" shapeId="0" xr:uid="{00000000-0006-0000-0000-000004000000}">
      <text>
        <r>
          <rPr>
            <b/>
            <sz val="10"/>
            <color indexed="8"/>
            <rFont val="Tahoma"/>
            <family val="2"/>
          </rPr>
          <t xml:space="preserve">This is the fraction of the active area that is covered by the thermal conducting layer.
Normally this is </t>
        </r>
        <r>
          <rPr>
            <b/>
            <sz val="10"/>
            <color indexed="12"/>
            <rFont val="Tahoma"/>
            <family val="2"/>
          </rPr>
          <t>100%</t>
        </r>
        <r>
          <rPr>
            <b/>
            <sz val="10"/>
            <color indexed="8"/>
            <rFont val="Tahoma"/>
            <family val="2"/>
          </rPr>
          <t xml:space="preserve">, but is less if, for example, the thermal conduction layer is 
aluminium strips or panels spaced with gaps, and/or with gaps at the walls for 
tube U-turns. In this case a typical value is approx. </t>
        </r>
        <r>
          <rPr>
            <b/>
            <sz val="10"/>
            <color indexed="12"/>
            <rFont val="Tahoma"/>
            <family val="2"/>
          </rPr>
          <t>80%</t>
        </r>
        <r>
          <rPr>
            <b/>
            <sz val="10"/>
            <color indexed="8"/>
            <rFont val="Tahoma"/>
            <family val="2"/>
          </rPr>
          <t xml:space="preserve">.
You can calcuate the exact fraction as follows:
</t>
        </r>
        <r>
          <rPr>
            <sz val="10"/>
            <color indexed="8"/>
            <rFont val="Tahoma"/>
            <family val="2"/>
          </rPr>
          <t xml:space="preserve">      Fraction = (n·L·W)/A   </t>
        </r>
        <r>
          <rPr>
            <sz val="10"/>
            <color indexed="8"/>
            <rFont val="Arial"/>
            <family val="2"/>
          </rPr>
          <t xml:space="preserve">×  </t>
        </r>
        <r>
          <rPr>
            <sz val="10"/>
            <color indexed="8"/>
            <rFont val="Tahoma"/>
            <family val="2"/>
          </rPr>
          <t>100%
where:
      n = number of strips or panels of conductor used to cover the floor (or ceiling or wall)
      L = length of a conductor strip/panel
      W = width of a conductor strip/panel
      A = area of whole floor (or ceiling or wall) as specified in the cell above
NOTE: For electric heating calculations we assume that the area covered by cable and 
thermal conducting layer are the same. The temperature calculations are only valid for areas
where cable is contact with the thermal conduction layer.</t>
        </r>
      </text>
    </comment>
    <comment ref="C7" authorId="0" shapeId="0" xr:uid="{00000000-0006-0000-0000-000005000000}">
      <text>
        <r>
          <rPr>
            <b/>
            <sz val="10"/>
            <color indexed="8"/>
            <rFont val="Tahoma"/>
            <family val="2"/>
          </rPr>
          <t xml:space="preserve">If hydronic heating or cooling tubes:
</t>
        </r>
        <r>
          <rPr>
            <sz val="10"/>
            <color indexed="8"/>
            <rFont val="Tahoma"/>
            <family val="2"/>
          </rPr>
          <t>Water inlet temperature [</t>
        </r>
        <r>
          <rPr>
            <sz val="10"/>
            <color indexed="10"/>
            <rFont val="Tahoma"/>
            <family val="2"/>
          </rPr>
          <t>°C</t>
        </r>
        <r>
          <rPr>
            <sz val="10"/>
            <color indexed="8"/>
            <rFont val="Tahoma"/>
            <family val="2"/>
          </rPr>
          <t>]</t>
        </r>
        <r>
          <rPr>
            <b/>
            <sz val="10"/>
            <color indexed="8"/>
            <rFont val="Tahoma"/>
            <family val="2"/>
          </rPr>
          <t xml:space="preserve">
If electric heating cables/mats:
</t>
        </r>
        <r>
          <rPr>
            <sz val="10"/>
            <color indexed="8"/>
            <rFont val="Tahoma"/>
            <family val="2"/>
          </rPr>
          <t xml:space="preserve">Here you can choose between four different ways of specifying the heat output:
</t>
        </r>
        <r>
          <rPr>
            <sz val="10"/>
            <color indexed="10"/>
            <rFont val="Tahoma"/>
            <family val="2"/>
          </rPr>
          <t>W</t>
        </r>
        <r>
          <rPr>
            <sz val="10"/>
            <color indexed="8"/>
            <rFont val="Tahoma"/>
            <family val="2"/>
          </rPr>
          <t xml:space="preserve">, </t>
        </r>
        <r>
          <rPr>
            <sz val="10"/>
            <color indexed="10"/>
            <rFont val="Tahoma"/>
            <family val="2"/>
          </rPr>
          <t>W/m</t>
        </r>
        <r>
          <rPr>
            <sz val="10"/>
            <color indexed="8"/>
            <rFont val="Tahoma"/>
            <family val="2"/>
          </rPr>
          <t xml:space="preserve"> per unit cable length, or </t>
        </r>
        <r>
          <rPr>
            <sz val="10"/>
            <color indexed="10"/>
            <rFont val="Tahoma"/>
            <family val="2"/>
          </rPr>
          <t xml:space="preserve">W/m² </t>
        </r>
        <r>
          <rPr>
            <sz val="10"/>
            <color indexed="8"/>
            <rFont val="Tahoma"/>
            <family val="2"/>
          </rPr>
          <t xml:space="preserve">surface area, or </t>
        </r>
        <r>
          <rPr>
            <sz val="10"/>
            <color indexed="10"/>
            <rFont val="Tahoma"/>
            <family val="2"/>
          </rPr>
          <t>°C</t>
        </r>
        <r>
          <rPr>
            <sz val="10"/>
            <color indexed="8"/>
            <rFont val="Tahoma"/>
            <family val="2"/>
          </rPr>
          <t xml:space="preserve"> cable temperature</t>
        </r>
      </text>
    </comment>
    <comment ref="J7" authorId="0" shapeId="0" xr:uid="{00000000-0006-0000-0000-000006000000}">
      <text>
        <r>
          <rPr>
            <b/>
            <u/>
            <sz val="10"/>
            <color indexed="8"/>
            <rFont val="Tahoma"/>
            <family val="2"/>
          </rPr>
          <t>A very high value</t>
        </r>
        <r>
          <rPr>
            <b/>
            <sz val="10"/>
            <color indexed="8"/>
            <rFont val="Tahoma"/>
            <family val="2"/>
          </rPr>
          <t xml:space="preserve">, near 100%, means 
that little heat reaches as far as the 
midpoint between cables/pipes.  The
</t>
        </r>
        <r>
          <rPr>
            <b/>
            <sz val="10"/>
            <color indexed="8"/>
            <rFont val="Symbol"/>
            <family val="1"/>
            <charset val="2"/>
          </rPr>
          <t>D</t>
        </r>
        <r>
          <rPr>
            <b/>
            <sz val="10"/>
            <color indexed="8"/>
            <rFont val="Tahoma"/>
            <family val="2"/>
          </rPr>
          <t xml:space="preserve">T along the "fin" is very large.  For a
given heat output per unit floor area,
the required cable/water temperature and
heat output per unit cable/pipe length are
both very high.  Consider reducing the
cable/pipe spacing, or increase the thickness
of the thermal conducting layer(s), or use
a better thermal conductor.
</t>
        </r>
        <r>
          <rPr>
            <b/>
            <u/>
            <sz val="10"/>
            <color indexed="8"/>
            <rFont val="Tahoma"/>
            <family val="2"/>
          </rPr>
          <t>A very low value</t>
        </r>
        <r>
          <rPr>
            <b/>
            <sz val="10"/>
            <color indexed="8"/>
            <rFont val="Tahoma"/>
            <family val="2"/>
          </rPr>
          <t xml:space="preserve">, near 0%, means the
cable/pipe spacing is unnecessarily
small. The </t>
        </r>
        <r>
          <rPr>
            <b/>
            <sz val="10"/>
            <color indexed="8"/>
            <rFont val="Symbol"/>
            <family val="1"/>
            <charset val="2"/>
          </rPr>
          <t>D</t>
        </r>
        <r>
          <rPr>
            <b/>
            <sz val="10"/>
            <color indexed="8"/>
            <rFont val="Tahoma"/>
            <family val="2"/>
          </rPr>
          <t xml:space="preserve">T along the "fin" is very
small. Consider increasing cable/pipe 
spacing or reduce the thickness of the
thermal conducting layer(s), because
this will </t>
        </r>
        <r>
          <rPr>
            <b/>
            <u/>
            <sz val="10"/>
            <color indexed="8"/>
            <rFont val="Tahoma"/>
            <family val="2"/>
          </rPr>
          <t>not</t>
        </r>
        <r>
          <rPr>
            <b/>
            <sz val="10"/>
            <color indexed="8"/>
            <rFont val="Tahoma"/>
            <family val="2"/>
          </rPr>
          <t xml:space="preserve"> significantly reduce the heat
output per unit floor area, and will </t>
        </r>
        <r>
          <rPr>
            <b/>
            <u/>
            <sz val="10"/>
            <color indexed="8"/>
            <rFont val="Tahoma"/>
            <family val="2"/>
          </rPr>
          <t>not</t>
        </r>
        <r>
          <rPr>
            <b/>
            <sz val="10"/>
            <color indexed="8"/>
            <rFont val="Tahoma"/>
            <family val="2"/>
          </rPr>
          <t xml:space="preserve">
increase the cable/water temperarure.  
</t>
        </r>
        <r>
          <rPr>
            <b/>
            <u/>
            <sz val="10"/>
            <color indexed="8"/>
            <rFont val="Tahoma"/>
            <family val="2"/>
          </rPr>
          <t>Optimum value</t>
        </r>
        <r>
          <rPr>
            <b/>
            <sz val="10"/>
            <color indexed="8"/>
            <rFont val="Tahoma"/>
            <family val="2"/>
          </rPr>
          <t xml:space="preserve"> is between 55% - 85%</t>
        </r>
      </text>
    </comment>
    <comment ref="C8" authorId="0" shapeId="0" xr:uid="{00000000-0006-0000-0000-000007000000}">
      <text>
        <r>
          <rPr>
            <b/>
            <sz val="10"/>
            <color indexed="8"/>
            <rFont val="Tahoma"/>
            <family val="2"/>
          </rPr>
          <t>Typical water flow rate is 0.05 ℓ/s</t>
        </r>
      </text>
    </comment>
    <comment ref="J8" authorId="0" shapeId="0" xr:uid="{00000000-0006-0000-0000-000008000000}">
      <text>
        <r>
          <rPr>
            <b/>
            <sz val="10"/>
            <color indexed="8"/>
            <rFont val="Tahoma"/>
            <family val="2"/>
          </rPr>
          <t>Estimated total length of tube/cable required to
cover the specified floor area.
It includes the approximate length of U-bends 
and 90° turns for a serpentine or spiral 
arrangement of the tube/cable.
This length depends on the specified floor area 
and c/c spacing.</t>
        </r>
      </text>
    </comment>
    <comment ref="C9" authorId="0" shapeId="0" xr:uid="{00000000-0006-0000-0000-000009000000}">
      <text>
        <r>
          <rPr>
            <b/>
            <sz val="10"/>
            <color indexed="8"/>
            <rFont val="Tahoma"/>
            <family val="2"/>
          </rPr>
          <t>Spacing between neighbouring parallel cables/tubes.
This is the distance between the centrelines.
For thin mats with continous electrical conductor,
the value should be set to zero.</t>
        </r>
      </text>
    </comment>
    <comment ref="J9" authorId="0" shapeId="0" xr:uid="{00000000-0006-0000-0000-00000A000000}">
      <text>
        <r>
          <rPr>
            <b/>
            <sz val="10"/>
            <color indexed="8"/>
            <rFont val="Tahoma"/>
            <family val="2"/>
          </rPr>
          <t>The combined thickness of the layers that 
act as a lateral heat conducting fin.
This depends on the thickness, thermal
conductivity, and order of the layers in
the construction.
Often only the layer marked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acts as a heat conductor
layer, but sometimes other adjacent layers
are good conductors too.</t>
        </r>
      </text>
    </comment>
    <comment ref="C10" authorId="0" shapeId="0" xr:uid="{00000000-0006-0000-0000-00000B000000}">
      <text>
        <r>
          <rPr>
            <b/>
            <sz val="10"/>
            <color indexed="8"/>
            <rFont val="Tahoma"/>
            <family val="2"/>
          </rPr>
          <t>Here you specify how deep the tube/cable is in the thermally conducting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xml:space="preserve">" in the construction below.
You can enter any value between 0.0 and 1.0
</t>
        </r>
        <r>
          <rPr>
            <i/>
            <sz val="10"/>
            <color indexed="8"/>
            <rFont val="Tahoma"/>
            <family val="2"/>
          </rPr>
          <t>Examples:</t>
        </r>
        <r>
          <rPr>
            <b/>
            <sz val="10"/>
            <color indexed="8"/>
            <rFont val="Tahoma"/>
            <family val="2"/>
          </rPr>
          <t xml:space="preserve">
0% = cable/tube at top of layer  </t>
        </r>
        <r>
          <rPr>
            <sz val="10"/>
            <color indexed="12"/>
            <rFont val="Tahoma"/>
            <family val="2"/>
          </rPr>
          <t>(top of cable/tube touches top of layer)</t>
        </r>
        <r>
          <rPr>
            <b/>
            <sz val="10"/>
            <color indexed="8"/>
            <rFont val="Tahoma"/>
            <family val="2"/>
          </rPr>
          <t xml:space="preserve">
50% = cable/tube in middle of layer (common)
80% = cable/tube is nearer bottom of layer
100% = cable/tube at bottom of layer </t>
        </r>
        <r>
          <rPr>
            <b/>
            <sz val="10"/>
            <color indexed="12"/>
            <rFont val="Tahoma"/>
            <family val="2"/>
          </rPr>
          <t xml:space="preserve"> </t>
        </r>
        <r>
          <rPr>
            <sz val="10"/>
            <color indexed="12"/>
            <rFont val="Tahoma"/>
            <family val="2"/>
          </rPr>
          <t>(bottom of cable/tube touches layer-bottom)</t>
        </r>
      </text>
    </comment>
    <comment ref="J10" authorId="0" shapeId="0" xr:uid="{00000000-0006-0000-0000-00000C000000}">
      <text>
        <r>
          <rPr>
            <b/>
            <sz val="10"/>
            <color indexed="8"/>
            <rFont val="Tahoma"/>
            <family val="2"/>
          </rPr>
          <t>This is the effective lateral conductivity
of the combined thickness of the layers that 
act as a lateral heat conducting fin.
This depends on the thickness, thermal
conductivity, and order of the layers in
the construction.
Often only the layer marked "</t>
        </r>
        <r>
          <rPr>
            <b/>
            <sz val="10"/>
            <color indexed="10"/>
            <rFont val="Tahoma"/>
            <family val="2"/>
          </rPr>
          <t>Tube layer ►</t>
        </r>
        <r>
          <rPr>
            <b/>
            <sz val="10"/>
            <color indexed="8"/>
            <rFont val="Tahoma"/>
            <family val="2"/>
          </rPr>
          <t>"
or "</t>
        </r>
        <r>
          <rPr>
            <b/>
            <sz val="10"/>
            <color indexed="10"/>
            <rFont val="Tahoma"/>
            <family val="2"/>
          </rPr>
          <t>Cable layer ►</t>
        </r>
        <r>
          <rPr>
            <b/>
            <sz val="10"/>
            <color indexed="8"/>
            <rFont val="Tahoma"/>
            <family val="2"/>
          </rPr>
          <t>" acts as a heat conductor
layer, but sometimes other adjacent layers
are good conductors too.</t>
        </r>
      </text>
    </comment>
    <comment ref="E11" authorId="0" shapeId="0" xr:uid="{00000000-0006-0000-0000-00000D000000}">
      <text>
        <r>
          <rPr>
            <b/>
            <sz val="10"/>
            <color indexed="8"/>
            <rFont val="Tahoma"/>
            <family val="2"/>
          </rPr>
          <t>Thermal conductivity of layer [W/mK].
This is given for layers with a specified thickness.</t>
        </r>
      </text>
    </comment>
    <comment ref="F11" authorId="0" shapeId="0" xr:uid="{00000000-0006-0000-0000-00000E000000}">
      <text>
        <r>
          <rPr>
            <b/>
            <sz val="10"/>
            <color indexed="8"/>
            <rFont val="Tahoma"/>
            <family val="2"/>
          </rPr>
          <t>U-value of layer
(i.e. thermal conductance)
[W/m²K]</t>
        </r>
      </text>
    </comment>
    <comment ref="G11" authorId="0" shapeId="0" xr:uid="{00000000-0006-0000-0000-00000F000000}">
      <text>
        <r>
          <rPr>
            <b/>
            <sz val="10"/>
            <color indexed="8"/>
            <rFont val="Tahoma"/>
            <family val="2"/>
          </rPr>
          <t>Additional thermal resistances between the
cable and the root of the conductive "fin",
for 1m² floor area.  Due to, for example,
poor thermal contact between cable and
the fin.
[m²K/W]</t>
        </r>
      </text>
    </comment>
    <comment ref="A12" authorId="0" shapeId="0" xr:uid="{00000000-0006-0000-0000-000010000000}">
      <text>
        <r>
          <rPr>
            <b/>
            <sz val="10"/>
            <color indexed="8"/>
            <rFont val="Tahoma"/>
            <family val="2"/>
          </rPr>
          <t>- Here you specify all the thermal resistances
   between the water/cable and the heat-conducting
   layer. Just choose from the drop-down lists.
- The resistances are additive (i.e. in series). You 
   can have up to 4 entries in the list below. Empty
   entries will be ignored (i.e. zero resistance).
- To clear any entry in the list just press the 
   "DEL" key, or choose an empty row from list.
- The items in the drop-down list are specified in
   the "Cable_library" worksheet.
   You can add your own items there!</t>
        </r>
      </text>
    </comment>
    <comment ref="C12" authorId="0" shapeId="0" xr:uid="{00000000-0006-0000-0000-000011000000}">
      <text>
        <r>
          <rPr>
            <b/>
            <sz val="10"/>
            <color indexed="8"/>
            <rFont val="Tahoma"/>
            <family val="2"/>
          </rPr>
          <t>Layer thickness  [mm]
You only need to specify
thickness if you see "mm"
in the column to the left.</t>
        </r>
      </text>
    </comment>
    <comment ref="A13" authorId="0" shapeId="0" xr:uid="{00000000-0006-0000-0000-000012000000}">
      <text>
        <r>
          <rPr>
            <b/>
            <sz val="10"/>
            <color indexed="8"/>
            <rFont val="Tahoma"/>
            <family val="2"/>
          </rPr>
          <t>Specification of thermal resistances between 
the water/cable wall and the heat-conducting layer.
- Choose a value from the drop-down list.
- The resistances are additive (i.e. in series). You 
   can have up to 4 entries in the list below. Empty
   entries are ignored (i.e. zero resistance).
- To clear an entry just press "DEL" key, or 
   choose an empty row from list.
- The items in the drop-down list are defined in
   the "Cable_library" worksheet.
   You can add your own items there!</t>
        </r>
      </text>
    </comment>
    <comment ref="B13" authorId="0" shapeId="0" xr:uid="{00000000-0006-0000-0000-000013000000}">
      <text>
        <r>
          <rPr>
            <b/>
            <sz val="10"/>
            <color indexed="8"/>
            <rFont val="Tahoma"/>
            <family val="2"/>
          </rPr>
          <t xml:space="preserve">Specification of thermal resistances between 
the water/cable and the heat-conducting layer.
- Choose entries from the drop-down list.
- The resistances are additive (i.e. in series). You 
   can have up to 4 entries in the list below. Empty
   entries are ignored (i.e. zero resistance).
- To clear an entry just press "DEL" key, or 
   choose an empty row from list.
- The items in the drop-down list are defined in
   the "Tube+Cable_library" worksheet.
   You can add your own items there!
- Tube walls can be laminated (i.e. consist of more
  than one concentric material). These should be
  listed in order, i.e. the </t>
        </r>
        <r>
          <rPr>
            <b/>
            <u/>
            <sz val="10"/>
            <color indexed="8"/>
            <rFont val="Tahoma"/>
            <family val="2"/>
          </rPr>
          <t>outermost layer first</t>
        </r>
        <r>
          <rPr>
            <b/>
            <sz val="10"/>
            <color indexed="8"/>
            <rFont val="Tahoma"/>
            <family val="2"/>
          </rPr>
          <t>, and
  innermost layer last. The surface rougness of the
  innermost layer will be used for the pressure drop
  calculation.</t>
        </r>
      </text>
    </comment>
    <comment ref="J15" authorId="0" shapeId="0" xr:uid="{00000000-0006-0000-0000-000014000000}">
      <text>
        <r>
          <rPr>
            <b/>
            <sz val="10"/>
            <color indexed="8"/>
            <rFont val="Tahoma"/>
            <family val="2"/>
          </rPr>
          <t xml:space="preserve">Heat (or coolth) output </t>
        </r>
        <r>
          <rPr>
            <b/>
            <u/>
            <sz val="10"/>
            <color indexed="8"/>
            <rFont val="Tahoma"/>
            <family val="2"/>
          </rPr>
          <t>per unit
total surface area</t>
        </r>
        <r>
          <rPr>
            <b/>
            <sz val="10"/>
            <color indexed="8"/>
            <rFont val="Tahoma"/>
            <family val="2"/>
          </rPr>
          <t xml:space="preserve"> (including both
active and inactive areas, i.e. such as
tube bends where there is no thermal
conducting layer)
NOTE: Some of this heat (or coolth)
is lost to the zone on the other side 
of the construction.</t>
        </r>
      </text>
    </comment>
    <comment ref="J16" authorId="0" shapeId="0" xr:uid="{00000000-0006-0000-0000-000015000000}">
      <text>
        <r>
          <rPr>
            <b/>
            <sz val="10"/>
            <color indexed="8"/>
            <rFont val="Tahoma"/>
            <family val="2"/>
          </rPr>
          <t xml:space="preserve">Percent of </t>
        </r>
        <r>
          <rPr>
            <b/>
            <u/>
            <sz val="10"/>
            <color indexed="8"/>
            <rFont val="Tahoma"/>
            <family val="2"/>
          </rPr>
          <t>cable heat</t>
        </r>
        <r>
          <rPr>
            <b/>
            <sz val="10"/>
            <color indexed="8"/>
            <rFont val="Tahoma"/>
            <family val="2"/>
          </rPr>
          <t xml:space="preserve"> (or cooling) output
that goes upwards.  The remainder 
escapes down to the zone below.
Note that this value is </t>
        </r>
        <r>
          <rPr>
            <b/>
            <u/>
            <sz val="10"/>
            <color indexed="8"/>
            <rFont val="Tahoma"/>
            <family val="2"/>
          </rPr>
          <t>independent</t>
        </r>
        <r>
          <rPr>
            <b/>
            <sz val="10"/>
            <color indexed="8"/>
            <rFont val="Tahoma"/>
            <family val="2"/>
          </rPr>
          <t xml:space="preserve">
of the temperatures in the zones 
above and below the floor, even if 
they have different temperatures,</t>
        </r>
      </text>
    </comment>
    <comment ref="F17" authorId="0" shapeId="0" xr:uid="{00000000-0006-0000-0000-000016000000}">
      <text>
        <r>
          <rPr>
            <b/>
            <sz val="10"/>
            <color indexed="8"/>
            <rFont val="Tahoma"/>
            <family val="2"/>
          </rPr>
          <t>Total U-value between the inside of the tube/cable and
the root of the conductive "fin", for 1m² floor area.
[m²K/W]</t>
        </r>
      </text>
    </comment>
    <comment ref="G17" authorId="0" shapeId="0" xr:uid="{00000000-0006-0000-0000-000017000000}">
      <text>
        <r>
          <rPr>
            <b/>
            <sz val="10"/>
            <color indexed="8"/>
            <rFont val="Tahoma"/>
            <family val="2"/>
          </rPr>
          <t>Total thermal resistance between the inside of the 
tube/cable and the root of the conductive "fin",
for 1m² floor area.
[m²K/W]</t>
        </r>
      </text>
    </comment>
    <comment ref="J17" authorId="0" shapeId="0" xr:uid="{00000000-0006-0000-0000-000018000000}">
      <text>
        <r>
          <rPr>
            <b/>
            <sz val="10"/>
            <color indexed="8"/>
            <rFont val="Tahoma"/>
            <family val="2"/>
          </rPr>
          <t>This is the actual surface heat (or coolth)
output [W/m²], i.e. cable/tube heat reaching
the zone plus heat transfered from the zone
on the other side of the construction).
This value is influenced by the temperature
difference between the two zones.</t>
        </r>
      </text>
    </comment>
    <comment ref="A18" authorId="0" shapeId="0" xr:uid="{00000000-0006-0000-0000-000019000000}">
      <text>
        <r>
          <rPr>
            <b/>
            <sz val="10"/>
            <color indexed="8"/>
            <rFont val="Tahoma"/>
            <family val="2"/>
          </rPr>
          <t>In this section, you specify the temperature on each side
of the floor/ceiling/wall, and each individual thermal 
resistance in the construction between these two
temperatures.</t>
        </r>
      </text>
    </comment>
    <comment ref="J18" authorId="0" shapeId="0" xr:uid="{00000000-0006-0000-0000-00001A000000}">
      <text>
        <r>
          <rPr>
            <b/>
            <sz val="10"/>
            <color indexed="8"/>
            <rFont val="Tahoma"/>
            <family val="2"/>
          </rPr>
          <t>This is the actual surface heat (or coolth)
output [W/m²], i.e. cable/tube heat reaching
the zone plus heat transfered from the zone
on the other side of the construction).
It is affected by the temperature
difference between the two zones.</t>
        </r>
      </text>
    </comment>
    <comment ref="B19" authorId="0" shapeId="0" xr:uid="{00000000-0006-0000-0000-00001B000000}">
      <text>
        <r>
          <rPr>
            <b/>
            <sz val="10"/>
            <color indexed="8"/>
            <rFont val="Tahoma"/>
            <family val="2"/>
          </rPr>
          <t>Resultant air temperature in the
room/zone that is being heated/cooled.</t>
        </r>
      </text>
    </comment>
    <comment ref="E19" authorId="0" shapeId="0" xr:uid="{00000000-0006-0000-0000-00001C000000}">
      <text>
        <r>
          <rPr>
            <b/>
            <sz val="10"/>
            <color indexed="8"/>
            <rFont val="Tahoma"/>
            <family val="2"/>
          </rPr>
          <t>Thermal conductivity of layer [W/mK].
This is given for layers with a specified thickness.</t>
        </r>
      </text>
    </comment>
    <comment ref="F19" authorId="0" shapeId="0" xr:uid="{00000000-0006-0000-0000-00001D000000}">
      <text>
        <r>
          <rPr>
            <b/>
            <sz val="10"/>
            <color indexed="8"/>
            <rFont val="Tahoma"/>
            <family val="2"/>
          </rPr>
          <t>U-value of layer
(i.e. thermal conductance)
[W/m²K]</t>
        </r>
      </text>
    </comment>
    <comment ref="G19" authorId="0" shapeId="0" xr:uid="{00000000-0006-0000-0000-00001E000000}">
      <text>
        <r>
          <rPr>
            <b/>
            <sz val="10"/>
            <color indexed="8"/>
            <rFont val="Tahoma"/>
            <family val="2"/>
          </rPr>
          <t>Thermal resistance of layer
[m²K/W]</t>
        </r>
      </text>
    </comment>
    <comment ref="B20" authorId="0" shapeId="0" xr:uid="{00000000-0006-0000-0000-00001F000000}">
      <text>
        <r>
          <rPr>
            <b/>
            <sz val="10"/>
            <color indexed="8"/>
            <rFont val="Tahoma"/>
            <family val="2"/>
          </rPr>
          <t>- Below you specify each layer of the floor construction,
   including any surface heat transfer resistances.  For 
   each layer choose a material from the drop-down list
- You can have up to 13 layers; empty rows will be
   ignored (i.e. layers of no thickness or resistance) 
- To remove a layer, just clear it by choosing an
  empty entry, "-", from the drop-down list.
- The items in the drop-down lists are specified in
   the "Materials_library" worksheet.
   You can add your own materials there!</t>
        </r>
      </text>
    </comment>
    <comment ref="C20" authorId="0" shapeId="0" xr:uid="{00000000-0006-0000-0000-000020000000}">
      <text>
        <r>
          <rPr>
            <b/>
            <sz val="10"/>
            <color indexed="8"/>
            <rFont val="Tahoma"/>
            <family val="2"/>
          </rPr>
          <t>Layer thickness  [mm]
You only need to specify
thickness if you see "mm"
in the column to the left.</t>
        </r>
      </text>
    </comment>
    <comment ref="B21" authorId="0" shapeId="0" xr:uid="{00000000-0006-0000-0000-000021000000}">
      <text>
        <r>
          <rPr>
            <b/>
            <sz val="10"/>
            <color indexed="8"/>
            <rFont val="Tahoma"/>
            <family val="2"/>
          </rPr>
          <t>Surface heat transfer resistance,
including convection &amp; radiation.
Choose the appropriate one from
the list, starting with "Air: internal ... "</t>
        </r>
      </text>
    </comment>
    <comment ref="B22" authorId="0" shapeId="0" xr:uid="{00000000-0006-0000-0000-000022000000}">
      <text>
        <r>
          <rPr>
            <b/>
            <sz val="10"/>
            <color indexed="8"/>
            <rFont val="Tahoma"/>
            <family val="2"/>
          </rPr>
          <t>This is the top layer of the floor construction.
For example, carpet or parquet.</t>
        </r>
      </text>
    </comment>
    <comment ref="J22" authorId="0" shapeId="0" xr:uid="{00000000-0006-0000-0000-000023000000}">
      <text>
        <r>
          <rPr>
            <b/>
            <sz val="10"/>
            <color indexed="8"/>
            <rFont val="Tahoma"/>
            <family val="2"/>
          </rPr>
          <t>The maximum temperature on
the surface occurs directly
above the cables/pipes</t>
        </r>
      </text>
    </comment>
    <comment ref="B23" authorId="0" shapeId="0" xr:uid="{00000000-0006-0000-0000-000024000000}">
      <text>
        <r>
          <rPr>
            <b/>
            <sz val="10"/>
            <color indexed="8"/>
            <rFont val="Tahoma"/>
            <family val="2"/>
          </rPr>
          <t>Choose a material layer from the drop-down list.
This cell can also be left blank.</t>
        </r>
      </text>
    </comment>
    <comment ref="J23" authorId="0" shapeId="0" xr:uid="{00000000-0006-0000-0000-000025000000}">
      <text>
        <r>
          <rPr>
            <b/>
            <sz val="10"/>
            <color indexed="8"/>
            <rFont val="Tahoma"/>
            <family val="2"/>
          </rPr>
          <t>This is the difference between the
maximum and minimum temperatures
on the surface.  
The max temperature occurs directly
above the cables/pipes, and the
minimum temperature occurs midway
between the cables/pipes</t>
        </r>
      </text>
    </comment>
    <comment ref="B24" authorId="0" shapeId="0" xr:uid="{00000000-0006-0000-0000-000026000000}">
      <text>
        <r>
          <rPr>
            <b/>
            <sz val="10"/>
            <color indexed="8"/>
            <rFont val="Tahoma"/>
            <family val="2"/>
          </rPr>
          <t>Choose a material layer from the drop-down list.
This cell can also be left blank.</t>
        </r>
      </text>
    </comment>
    <comment ref="B25" authorId="0" shapeId="0" xr:uid="{00000000-0006-0000-0000-000027000000}">
      <text>
        <r>
          <rPr>
            <b/>
            <sz val="10"/>
            <color indexed="8"/>
            <rFont val="Tahoma"/>
            <family val="2"/>
          </rPr>
          <t>Choose a material layer from the drop-down list.
This cell can also be left blank.</t>
        </r>
      </text>
    </comment>
    <comment ref="B26" authorId="0" shapeId="0" xr:uid="{00000000-0006-0000-0000-000028000000}">
      <text>
        <r>
          <rPr>
            <b/>
            <sz val="10"/>
            <color indexed="8"/>
            <rFont val="Tahoma"/>
            <family val="2"/>
          </rPr>
          <t>Choose a material layer from the drop-down list.
This cell can also be left blank.</t>
        </r>
      </text>
    </comment>
    <comment ref="J26" authorId="0" shapeId="0" xr:uid="{00000000-0006-0000-0000-000029000000}">
      <text>
        <r>
          <rPr>
            <b/>
            <sz val="10"/>
            <color indexed="8"/>
            <rFont val="Tahoma"/>
            <family val="2"/>
          </rPr>
          <t>This is the mean temperature
of the heat-conducting layer 
inside the floor construction.</t>
        </r>
      </text>
    </comment>
    <comment ref="A27" authorId="0" shapeId="0" xr:uid="{00000000-0006-0000-0000-00002A000000}">
      <text>
        <r>
          <rPr>
            <b/>
            <sz val="10"/>
            <color indexed="8"/>
            <rFont val="Tahoma"/>
            <family val="2"/>
          </rPr>
          <t>This is the heat conducting layer that has
best thermal contact with the tube/cable.</t>
        </r>
      </text>
    </comment>
    <comment ref="B27" authorId="0" shapeId="0" xr:uid="{00000000-0006-0000-0000-00002B000000}">
      <text>
        <r>
          <rPr>
            <b/>
            <sz val="10"/>
            <color indexed="8"/>
            <rFont val="Tahoma"/>
            <family val="2"/>
          </rPr>
          <t xml:space="preserve">This layer has best thermal contact with, or surrounds,
the pipe/cable, and is usually the </t>
        </r>
        <r>
          <rPr>
            <b/>
            <u/>
            <sz val="10"/>
            <color indexed="8"/>
            <rFont val="Tahoma"/>
            <family val="2"/>
          </rPr>
          <t>main</t>
        </r>
        <r>
          <rPr>
            <b/>
            <sz val="10"/>
            <color indexed="8"/>
            <rFont val="Tahoma"/>
            <family val="2"/>
          </rPr>
          <t xml:space="preserve"> conducting layer.
</t>
        </r>
        <r>
          <rPr>
            <i/>
            <sz val="10"/>
            <color indexed="8"/>
            <rFont val="Tahoma"/>
            <family val="2"/>
          </rPr>
          <t>Note</t>
        </r>
        <r>
          <rPr>
            <b/>
            <sz val="10"/>
            <color indexed="8"/>
            <rFont val="Tahoma"/>
            <family val="2"/>
          </rPr>
          <t xml:space="preserve">: You can have as many conductive layers as you wish,
   this one just happens to be closest to the pipe/cable.
</t>
        </r>
        <r>
          <rPr>
            <i/>
            <sz val="10"/>
            <color indexed="8"/>
            <rFont val="Tahoma"/>
            <family val="2"/>
          </rPr>
          <t>Note</t>
        </r>
        <r>
          <rPr>
            <b/>
            <sz val="10"/>
            <color indexed="8"/>
            <rFont val="Tahoma"/>
            <family val="2"/>
          </rPr>
          <t xml:space="preserve">: If the pipe/cable is sandwiched between two layers,
   then specify the more conductive of the two here.
</t>
        </r>
        <r>
          <rPr>
            <i/>
            <sz val="10"/>
            <color indexed="8"/>
            <rFont val="Tahoma"/>
            <family val="2"/>
          </rPr>
          <t>Note</t>
        </r>
        <r>
          <rPr>
            <b/>
            <sz val="10"/>
            <color indexed="8"/>
            <rFont val="Tahoma"/>
            <family val="2"/>
          </rPr>
          <t>: In cell C6 you must specify the depth of the cable in
   this layer, i.e. whether the cable is at the top, middle or
   bottom of this layer.</t>
        </r>
      </text>
    </comment>
    <comment ref="J27" authorId="0" shapeId="0" xr:uid="{00000000-0006-0000-0000-00002C000000}">
      <text>
        <r>
          <rPr>
            <b/>
            <sz val="10"/>
            <color indexed="8"/>
            <rFont val="Tahoma"/>
            <family val="2"/>
          </rPr>
          <t xml:space="preserve">This temperature is influenced by the tube/cable
construction details that you choose in the input
table "Thermal resistances from tube/cable ...". 
You may also modify the details in the worksheet
"Tube+Cable_library".
NOTE: For </t>
        </r>
        <r>
          <rPr>
            <b/>
            <u/>
            <sz val="10"/>
            <color indexed="8"/>
            <rFont val="Tahoma"/>
            <family val="2"/>
          </rPr>
          <t>electric</t>
        </r>
        <r>
          <rPr>
            <b/>
            <sz val="10"/>
            <color indexed="8"/>
            <rFont val="Tahoma"/>
            <family val="2"/>
          </rPr>
          <t xml:space="preserve"> heating, the calculation of max 
cable temperature is only valid for areas where 
the cable is in contact with the thermal 
conduction layer.  The cable may expereince 
higher temperatures where it is not in contact
with thermal conduction layer.
NOTE: For </t>
        </r>
        <r>
          <rPr>
            <b/>
            <u/>
            <sz val="10"/>
            <color indexed="8"/>
            <rFont val="Tahoma"/>
            <family val="2"/>
          </rPr>
          <t>hydronic</t>
        </r>
        <r>
          <rPr>
            <b/>
            <sz val="10"/>
            <color indexed="8"/>
            <rFont val="Tahoma"/>
            <family val="2"/>
          </rPr>
          <t xml:space="preserve"> heating, it is the logarithmic 
mean water temperature.</t>
        </r>
      </text>
    </comment>
    <comment ref="B28" authorId="0" shapeId="0" xr:uid="{00000000-0006-0000-0000-00002D000000}">
      <text>
        <r>
          <rPr>
            <b/>
            <sz val="10"/>
            <color indexed="8"/>
            <rFont val="Tahoma"/>
            <family val="2"/>
          </rPr>
          <t>Choose a material layer from the drop-down list.
This cell can also be left blank.</t>
        </r>
      </text>
    </comment>
    <comment ref="B29" authorId="0" shapeId="0" xr:uid="{00000000-0006-0000-0000-00002E000000}">
      <text>
        <r>
          <rPr>
            <b/>
            <sz val="10"/>
            <color indexed="8"/>
            <rFont val="Tahoma"/>
            <family val="2"/>
          </rPr>
          <t>Choose a material layer from the drop-down list.
This cell can also be left blank.</t>
        </r>
      </text>
    </comment>
    <comment ref="B30" authorId="0" shapeId="0" xr:uid="{00000000-0006-0000-0000-00002F000000}">
      <text>
        <r>
          <rPr>
            <b/>
            <sz val="10"/>
            <color indexed="8"/>
            <rFont val="Tahoma"/>
            <family val="2"/>
          </rPr>
          <t>Choose a material layer from the drop-down list.
This cell can also be left blank.</t>
        </r>
      </text>
    </comment>
    <comment ref="B31" authorId="0" shapeId="0" xr:uid="{00000000-0006-0000-0000-000030000000}">
      <text>
        <r>
          <rPr>
            <b/>
            <sz val="10"/>
            <color indexed="8"/>
            <rFont val="Tahoma"/>
            <family val="2"/>
          </rPr>
          <t>Choose a material layer from the drop-down list.
This cell can also be left blank.</t>
        </r>
      </text>
    </comment>
    <comment ref="J31" authorId="0" shapeId="0" xr:uid="{00000000-0006-0000-0000-000031000000}">
      <text>
        <r>
          <rPr>
            <b/>
            <sz val="10"/>
            <color indexed="8"/>
            <rFont val="Tahoma"/>
            <family val="2"/>
          </rPr>
          <t xml:space="preserve">Reynolds number (Re) gives an indication 
of the type of flow in the tubes:
</t>
        </r>
        <r>
          <rPr>
            <b/>
            <sz val="10"/>
            <color indexed="12"/>
            <rFont val="Tahoma"/>
            <family val="2"/>
          </rPr>
          <t>Re &lt; 2300</t>
        </r>
        <r>
          <rPr>
            <b/>
            <sz val="10"/>
            <color indexed="8"/>
            <rFont val="Tahoma"/>
            <family val="2"/>
          </rPr>
          <t xml:space="preserve"> : Laminar flow
</t>
        </r>
        <r>
          <rPr>
            <b/>
            <sz val="10"/>
            <color indexed="12"/>
            <rFont val="Tahoma"/>
            <family val="2"/>
          </rPr>
          <t>Re &gt; 5000</t>
        </r>
        <r>
          <rPr>
            <b/>
            <sz val="10"/>
            <color indexed="8"/>
            <rFont val="Tahoma"/>
            <family val="2"/>
          </rPr>
          <t xml:space="preserve"> : Fully developed turbulent flow</t>
        </r>
      </text>
    </comment>
    <comment ref="B32" authorId="0" shapeId="0" xr:uid="{00000000-0006-0000-0000-000032000000}">
      <text>
        <r>
          <rPr>
            <b/>
            <sz val="10"/>
            <color indexed="8"/>
            <rFont val="Tahoma"/>
            <family val="2"/>
          </rPr>
          <t>Choose a material layer from the drop-down list.
This cell can also be left blank.</t>
        </r>
      </text>
    </comment>
    <comment ref="J32" authorId="0" shapeId="0" xr:uid="{00000000-0006-0000-0000-000033000000}">
      <text>
        <r>
          <rPr>
            <b/>
            <sz val="10"/>
            <color indexed="8"/>
            <rFont val="Tahoma"/>
            <family val="2"/>
          </rPr>
          <t>The pressure drop per meter of staight tube depends on:
- Flow velocity
- Internal surface roughness (depends on tube material)
- Viscosity (depends on water temperature)
- Internal diameter of tube
The pressure drop is correctly calculated irrespective of
whether the flow is laminar or turbulent.</t>
        </r>
      </text>
    </comment>
    <comment ref="B33" authorId="0" shapeId="0" xr:uid="{00000000-0006-0000-0000-000034000000}">
      <text>
        <r>
          <rPr>
            <b/>
            <sz val="10"/>
            <color indexed="8"/>
            <rFont val="Tahoma"/>
            <family val="2"/>
          </rPr>
          <t>Surface heat transfer resistance,
including convection &amp; radiation.
Choose the appropriate one from the
drop-down list.</t>
        </r>
      </text>
    </comment>
    <comment ref="J33" authorId="0" shapeId="0" xr:uid="{00000000-0006-0000-0000-000035000000}">
      <text>
        <r>
          <rPr>
            <b/>
            <sz val="10"/>
            <color indexed="8"/>
            <rFont val="Tahoma"/>
            <family val="2"/>
          </rPr>
          <t>This is the pressure drop between inlet and outlet of 
the tube that heats the specified floor area, assuming
that it is a single continuous tube laid in a serpentine shape.
The estimated pressure drop over all the U-bends is
included.</t>
        </r>
      </text>
    </comment>
    <comment ref="F34" authorId="0" shapeId="0" xr:uid="{00000000-0006-0000-0000-000036000000}">
      <text>
        <r>
          <rPr>
            <b/>
            <sz val="10"/>
            <color indexed="8"/>
            <rFont val="Tahoma"/>
            <family val="2"/>
          </rPr>
          <t>U-value for the whole floor construction
[m²K/W]</t>
        </r>
      </text>
    </comment>
    <comment ref="G34" authorId="0" shapeId="0" xr:uid="{00000000-0006-0000-0000-000037000000}">
      <text>
        <r>
          <rPr>
            <b/>
            <sz val="10"/>
            <color indexed="8"/>
            <rFont val="Tahoma"/>
            <family val="2"/>
          </rPr>
          <t>Total thermal resitance through thw whole construction
(i.e. between the two rooms)  [W/m²K]</t>
        </r>
      </text>
    </comment>
    <comment ref="J34" authorId="0" shapeId="0" xr:uid="{00000000-0006-0000-0000-000038000000}">
      <text>
        <r>
          <rPr>
            <b/>
            <sz val="10"/>
            <color indexed="8"/>
            <rFont val="Tahoma"/>
            <family val="2"/>
          </rPr>
          <t>Difference between inlet and outlet water
temperature in the tube to this floor area.</t>
        </r>
      </text>
    </comment>
    <comment ref="B35" authorId="0" shapeId="0" xr:uid="{00000000-0006-0000-0000-000039000000}">
      <text>
        <r>
          <rPr>
            <b/>
            <sz val="10"/>
            <color indexed="8"/>
            <rFont val="Tahoma"/>
            <family val="2"/>
          </rPr>
          <t>- This is the temperature of the room/zone on the other side,
   i.e. below the floor, above the ceiling, or behind the wall.
- It, usually air temperature.  But it could also be e.g. ground temperature.
   If the floor is on the ground, then you can choose between:
   (i) earth temperature or 
   (ii) outdoor air temperature, and you should define a new 'material' in the 
         Materials_library, for a layer for the thermal resistance of the ground.</t>
        </r>
      </text>
    </comment>
    <comment ref="G35" authorId="0" shapeId="0" xr:uid="{00000000-0006-0000-0000-00003A000000}">
      <text>
        <r>
          <rPr>
            <b/>
            <sz val="10"/>
            <color indexed="8"/>
            <rFont val="Tahoma"/>
            <family val="2"/>
          </rPr>
          <t>Total resitance downwards from tube layer should be 
less than 0.75 m²K/W, if the zone on the other side
is heated at normal room temperature. For unheated
zones, R should be higher.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E3" authorId="0" shapeId="0" xr:uid="{00000000-0006-0000-0100-000001000000}">
      <text>
        <r>
          <rPr>
            <b/>
            <sz val="10"/>
            <color indexed="8"/>
            <rFont val="Tahoma"/>
            <family val="2"/>
          </rPr>
          <t>Click on this cell and
choose from drop-down list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200-000001000000}">
      <text>
        <r>
          <rPr>
            <b/>
            <sz val="10"/>
            <color indexed="8"/>
            <rFont val="Tahoma"/>
            <family val="2"/>
          </rPr>
          <t xml:space="preserve">Each material must have a </t>
        </r>
        <r>
          <rPr>
            <b/>
            <u/>
            <sz val="10"/>
            <color indexed="8"/>
            <rFont val="Tahoma"/>
            <family val="2"/>
          </rPr>
          <t>unique</t>
        </r>
        <r>
          <rPr>
            <b/>
            <sz val="10"/>
            <color indexed="8"/>
            <rFont val="Tahoma"/>
            <family val="2"/>
          </rPr>
          <t xml:space="preserve"> description.</t>
        </r>
      </text>
    </comment>
    <comment ref="B1" authorId="0" shapeId="0" xr:uid="{00000000-0006-0000-0200-000002000000}">
      <text>
        <r>
          <rPr>
            <b/>
            <sz val="10"/>
            <color indexed="8"/>
            <rFont val="Tahoma"/>
            <family val="2"/>
          </rPr>
          <t>Thermal conductivity</t>
        </r>
        <r>
          <rPr>
            <sz val="10"/>
            <color indexed="8"/>
            <rFont val="Tahoma"/>
            <family val="2"/>
          </rPr>
          <t xml:space="preserve"> [W/mK]</t>
        </r>
        <r>
          <rPr>
            <b/>
            <sz val="10"/>
            <color indexed="8"/>
            <rFont val="Tahoma"/>
            <family val="2"/>
          </rPr>
          <t xml:space="preserve">
</t>
        </r>
        <r>
          <rPr>
            <b/>
            <sz val="10"/>
            <color indexed="10"/>
            <rFont val="Tahoma"/>
            <family val="2"/>
          </rPr>
          <t xml:space="preserve">Do not specify both </t>
        </r>
        <r>
          <rPr>
            <b/>
            <i/>
            <sz val="10"/>
            <color indexed="10"/>
            <rFont val="Tahoma"/>
            <family val="2"/>
          </rPr>
          <t>k</t>
        </r>
        <r>
          <rPr>
            <b/>
            <sz val="10"/>
            <color indexed="10"/>
            <rFont val="Tahoma"/>
            <family val="2"/>
          </rPr>
          <t xml:space="preserve"> and </t>
        </r>
        <r>
          <rPr>
            <b/>
            <i/>
            <sz val="10"/>
            <color indexed="10"/>
            <rFont val="Tahoma"/>
            <family val="2"/>
          </rPr>
          <t>R</t>
        </r>
        <r>
          <rPr>
            <b/>
            <sz val="10"/>
            <color indexed="10"/>
            <rFont val="Tahoma"/>
            <family val="2"/>
          </rPr>
          <t xml:space="preserve"> for the same material !</t>
        </r>
        <r>
          <rPr>
            <b/>
            <sz val="10"/>
            <color indexed="8"/>
            <rFont val="Tahoma"/>
            <family val="2"/>
          </rPr>
          <t xml:space="preserve">
</t>
        </r>
        <r>
          <rPr>
            <b/>
            <sz val="10"/>
            <color indexed="81"/>
            <rFont val="Tahoma"/>
            <family val="2"/>
          </rPr>
          <t xml:space="preserve">Specify </t>
        </r>
        <r>
          <rPr>
            <b/>
            <i/>
            <sz val="10"/>
            <color indexed="81"/>
            <rFont val="Tahoma"/>
            <family val="2"/>
          </rPr>
          <t>k</t>
        </r>
        <r>
          <rPr>
            <b/>
            <sz val="10"/>
            <color indexed="81"/>
            <rFont val="Tahoma"/>
            <family val="2"/>
          </rPr>
          <t xml:space="preserve"> instead of </t>
        </r>
        <r>
          <rPr>
            <b/>
            <i/>
            <sz val="10"/>
            <color indexed="81"/>
            <rFont val="Tahoma"/>
            <family val="2"/>
          </rPr>
          <t>R</t>
        </r>
        <r>
          <rPr>
            <b/>
            <sz val="10"/>
            <color indexed="81"/>
            <rFont val="Tahoma"/>
            <family val="2"/>
          </rPr>
          <t xml:space="preserve"> if you want to calculate </t>
        </r>
        <r>
          <rPr>
            <b/>
            <i/>
            <sz val="10"/>
            <color indexed="81"/>
            <rFont val="Tahoma"/>
            <family val="2"/>
          </rPr>
          <t>R</t>
        </r>
        <r>
          <rPr>
            <b/>
            <sz val="10"/>
            <color indexed="81"/>
            <rFont val="Tahoma"/>
            <family val="2"/>
          </rPr>
          <t xml:space="preserve">
based on the specified thickness of the material layer.</t>
        </r>
      </text>
    </comment>
    <comment ref="C1" authorId="0" shapeId="0" xr:uid="{00000000-0006-0000-0200-000003000000}">
      <text>
        <r>
          <rPr>
            <b/>
            <sz val="10"/>
            <color indexed="8"/>
            <rFont val="Tahoma"/>
            <family val="2"/>
          </rPr>
          <t>Thermal resistance per m² floor</t>
        </r>
        <r>
          <rPr>
            <sz val="10"/>
            <color indexed="8"/>
            <rFont val="Tahoma"/>
            <family val="2"/>
          </rPr>
          <t xml:space="preserve"> [m²K/W]</t>
        </r>
        <r>
          <rPr>
            <b/>
            <sz val="10"/>
            <color indexed="8"/>
            <rFont val="Tahoma"/>
            <family val="2"/>
          </rPr>
          <t xml:space="preserve">
</t>
        </r>
        <r>
          <rPr>
            <b/>
            <sz val="10"/>
            <color indexed="10"/>
            <rFont val="Tahoma"/>
            <family val="2"/>
          </rPr>
          <t xml:space="preserve">Do not specify both </t>
        </r>
        <r>
          <rPr>
            <b/>
            <i/>
            <sz val="10"/>
            <color indexed="10"/>
            <rFont val="Tahoma"/>
            <family val="2"/>
          </rPr>
          <t>R</t>
        </r>
        <r>
          <rPr>
            <b/>
            <sz val="10"/>
            <color indexed="10"/>
            <rFont val="Tahoma"/>
            <family val="2"/>
          </rPr>
          <t xml:space="preserve"> and </t>
        </r>
        <r>
          <rPr>
            <b/>
            <i/>
            <sz val="10"/>
            <color indexed="10"/>
            <rFont val="Tahoma"/>
            <family val="2"/>
          </rPr>
          <t>k</t>
        </r>
        <r>
          <rPr>
            <b/>
            <sz val="10"/>
            <color indexed="10"/>
            <rFont val="Tahoma"/>
            <family val="2"/>
          </rPr>
          <t xml:space="preserve"> for the same material !
</t>
        </r>
        <r>
          <rPr>
            <b/>
            <sz val="10"/>
            <color indexed="81"/>
            <rFont val="Tahoma"/>
            <family val="2"/>
          </rPr>
          <t xml:space="preserve">Specify R instead of </t>
        </r>
        <r>
          <rPr>
            <b/>
            <i/>
            <sz val="10"/>
            <color indexed="81"/>
            <rFont val="Tahoma"/>
            <family val="2"/>
          </rPr>
          <t>k</t>
        </r>
        <r>
          <rPr>
            <b/>
            <sz val="10"/>
            <color indexed="81"/>
            <rFont val="Tahoma"/>
            <family val="2"/>
          </rPr>
          <t xml:space="preserve"> if </t>
        </r>
        <r>
          <rPr>
            <b/>
            <i/>
            <sz val="10"/>
            <color indexed="81"/>
            <rFont val="Tahoma"/>
            <family val="2"/>
          </rPr>
          <t>R</t>
        </r>
        <r>
          <rPr>
            <b/>
            <sz val="10"/>
            <color indexed="81"/>
            <rFont val="Tahoma"/>
            <family val="2"/>
          </rPr>
          <t xml:space="preserve"> is a constant
value, i.e. not affected by thickness.</t>
        </r>
      </text>
    </comment>
    <comment ref="D1" authorId="0" shapeId="0" xr:uid="{00000000-0006-0000-0200-000004000000}">
      <text>
        <r>
          <rPr>
            <b/>
            <sz val="10"/>
            <color indexed="8"/>
            <rFont val="Tahoma"/>
            <family val="2"/>
          </rPr>
          <t xml:space="preserve">Density </t>
        </r>
        <r>
          <rPr>
            <sz val="10"/>
            <color indexed="8"/>
            <rFont val="Tahoma"/>
            <family val="2"/>
          </rPr>
          <t>[kg/m³]</t>
        </r>
        <r>
          <rPr>
            <b/>
            <sz val="10"/>
            <color indexed="8"/>
            <rFont val="Tahoma"/>
            <family val="2"/>
          </rPr>
          <t xml:space="preserve">
</t>
        </r>
        <r>
          <rPr>
            <b/>
            <sz val="10"/>
            <color indexed="12"/>
            <rFont val="Tahoma"/>
            <family val="2"/>
          </rPr>
          <t>(This is only for information; it is not used in calculations)</t>
        </r>
      </text>
    </comment>
    <comment ref="E1" authorId="0" shapeId="0" xr:uid="{00000000-0006-0000-02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200-000006000000}">
      <text>
        <r>
          <rPr>
            <b/>
            <sz val="10"/>
            <color indexed="81"/>
            <rFont val="Tahoma"/>
            <family val="2"/>
          </rPr>
          <t xml:space="preserve">
It is recommended that this top row of data is kept empty
</t>
        </r>
      </text>
    </comment>
    <comment ref="A120" authorId="0" shapeId="0" xr:uid="{00000000-0006-0000-02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300-000001000000}">
      <text>
        <r>
          <rPr>
            <b/>
            <sz val="10"/>
            <color indexed="8"/>
            <rFont val="Tahoma"/>
            <family val="2"/>
          </rPr>
          <t xml:space="preserve">Each row must have a </t>
        </r>
        <r>
          <rPr>
            <b/>
            <u/>
            <sz val="10"/>
            <color indexed="8"/>
            <rFont val="Tahoma"/>
            <family val="2"/>
          </rPr>
          <t>unique</t>
        </r>
        <r>
          <rPr>
            <b/>
            <sz val="10"/>
            <color indexed="8"/>
            <rFont val="Tahoma"/>
            <family val="2"/>
          </rPr>
          <t xml:space="preserve"> description.</t>
        </r>
      </text>
    </comment>
    <comment ref="B1" authorId="0" shapeId="0" xr:uid="{00000000-0006-0000-0300-000002000000}">
      <text>
        <r>
          <rPr>
            <b/>
            <sz val="10"/>
            <color indexed="8"/>
            <rFont val="Tahoma"/>
            <family val="2"/>
          </rPr>
          <t xml:space="preserve">Thermal conductivity of tube wall material </t>
        </r>
        <r>
          <rPr>
            <sz val="10"/>
            <color indexed="8"/>
            <rFont val="Tahoma"/>
            <family val="2"/>
          </rPr>
          <t>[W/mK]</t>
        </r>
        <r>
          <rPr>
            <b/>
            <sz val="10"/>
            <color indexed="8"/>
            <rFont val="Tahoma"/>
            <family val="2"/>
          </rPr>
          <t xml:space="preserve">
</t>
        </r>
        <r>
          <rPr>
            <b/>
            <sz val="10"/>
            <color indexed="10"/>
            <rFont val="Tahoma"/>
            <family val="2"/>
          </rPr>
          <t xml:space="preserve">Do not specify both </t>
        </r>
        <r>
          <rPr>
            <b/>
            <i/>
            <sz val="10"/>
            <color indexed="10"/>
            <rFont val="Tahoma"/>
            <family val="2"/>
          </rPr>
          <t>k</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Specify </t>
        </r>
        <r>
          <rPr>
            <b/>
            <i/>
            <sz val="10"/>
            <color indexed="8"/>
            <rFont val="Tahoma"/>
            <family val="2"/>
          </rPr>
          <t>k</t>
        </r>
        <r>
          <rPr>
            <b/>
            <sz val="10"/>
            <color indexed="8"/>
            <rFont val="Tahoma"/>
            <family val="2"/>
          </rPr>
          <t xml:space="preserve"> instead of </t>
        </r>
        <r>
          <rPr>
            <b/>
            <i/>
            <sz val="10"/>
            <color indexed="8"/>
            <rFont val="Tahoma"/>
            <family val="2"/>
          </rPr>
          <t>R</t>
        </r>
        <r>
          <rPr>
            <b/>
            <sz val="10"/>
            <color indexed="8"/>
            <rFont val="Tahoma"/>
            <family val="2"/>
          </rPr>
          <t xml:space="preserve"> if you want to calculate </t>
        </r>
        <r>
          <rPr>
            <b/>
            <i/>
            <sz val="10"/>
            <color indexed="8"/>
            <rFont val="Tahoma"/>
            <family val="2"/>
          </rPr>
          <t>R</t>
        </r>
        <r>
          <rPr>
            <b/>
            <sz val="10"/>
            <color indexed="8"/>
            <rFont val="Tahoma"/>
            <family val="2"/>
          </rPr>
          <t xml:space="preserve">
for a tube wall or cable sleeve, where you specify 
the thickness of the material.</t>
        </r>
      </text>
    </comment>
    <comment ref="C1" authorId="0" shapeId="0" xr:uid="{00000000-0006-0000-0300-000003000000}">
      <text>
        <r>
          <rPr>
            <b/>
            <sz val="10"/>
            <color indexed="8"/>
            <rFont val="Tahoma"/>
            <family val="2"/>
          </rPr>
          <t xml:space="preserve">Additional thermal resistance per meter tube/cable </t>
        </r>
        <r>
          <rPr>
            <sz val="10"/>
            <color indexed="8"/>
            <rFont val="Tahoma"/>
            <family val="2"/>
          </rPr>
          <t>[mK/W]</t>
        </r>
        <r>
          <rPr>
            <b/>
            <sz val="10"/>
            <color indexed="8"/>
            <rFont val="Tahoma"/>
            <family val="2"/>
          </rPr>
          <t xml:space="preserve">
</t>
        </r>
        <r>
          <rPr>
            <b/>
            <sz val="10"/>
            <color indexed="10"/>
            <rFont val="Tahoma"/>
            <family val="2"/>
          </rPr>
          <t xml:space="preserve">Do not specify both </t>
        </r>
        <r>
          <rPr>
            <b/>
            <i/>
            <sz val="10"/>
            <color indexed="10"/>
            <rFont val="Tahoma"/>
            <family val="2"/>
          </rPr>
          <t>R</t>
        </r>
        <r>
          <rPr>
            <b/>
            <sz val="10"/>
            <color indexed="10"/>
            <rFont val="Tahoma"/>
            <family val="2"/>
          </rPr>
          <t xml:space="preserve"> and </t>
        </r>
        <r>
          <rPr>
            <b/>
            <i/>
            <sz val="10"/>
            <color indexed="10"/>
            <rFont val="Tahoma"/>
            <family val="2"/>
          </rPr>
          <t>k</t>
        </r>
        <r>
          <rPr>
            <b/>
            <sz val="10"/>
            <color indexed="10"/>
            <rFont val="Tahoma"/>
            <family val="2"/>
          </rPr>
          <t xml:space="preserve"> for the same material !</t>
        </r>
        <r>
          <rPr>
            <b/>
            <sz val="10"/>
            <color indexed="8"/>
            <rFont val="Tahoma"/>
            <family val="2"/>
          </rPr>
          <t xml:space="preserve">
</t>
        </r>
        <r>
          <rPr>
            <b/>
            <i/>
            <sz val="10"/>
            <color indexed="8"/>
            <rFont val="Tahoma"/>
            <family val="2"/>
          </rPr>
          <t>k</t>
        </r>
        <r>
          <rPr>
            <b/>
            <sz val="10"/>
            <color indexed="8"/>
            <rFont val="Tahoma"/>
            <family val="2"/>
          </rPr>
          <t xml:space="preserve"> is relevant only for tube walls, whilst R has a more.
general application, for any type of thermal resistance
between the tube/cable and the root of the fin, per meter
of cable/tube.
NOTE: You may use an equation. The equation can use
</t>
        </r>
        <r>
          <rPr>
            <b/>
            <i/>
            <sz val="10"/>
            <color indexed="8"/>
            <rFont val="Tahoma"/>
            <family val="2"/>
          </rPr>
          <t>input values</t>
        </r>
        <r>
          <rPr>
            <b/>
            <sz val="10"/>
            <color indexed="8"/>
            <rFont val="Tahoma"/>
            <family val="2"/>
          </rPr>
          <t xml:space="preserve"> from the "Design" worksheet, for example:
</t>
        </r>
        <r>
          <rPr>
            <sz val="10"/>
            <color indexed="8"/>
            <rFont val="Tahoma"/>
            <family val="2"/>
          </rPr>
          <t xml:space="preserve">● inp_diameter = tube/cable external diameter
● inp_ccSpacing = tube/cable spacing
</t>
        </r>
        <r>
          <rPr>
            <b/>
            <sz val="10"/>
            <color indexed="8"/>
            <rFont val="Tahoma"/>
            <family val="2"/>
          </rPr>
          <t xml:space="preserve">You can, of course, also use cell references in the equation.
You should not use </t>
        </r>
        <r>
          <rPr>
            <b/>
            <i/>
            <sz val="10"/>
            <color indexed="8"/>
            <rFont val="Tahoma"/>
            <family val="2"/>
          </rPr>
          <t>output values</t>
        </r>
        <r>
          <rPr>
            <b/>
            <sz val="10"/>
            <color indexed="8"/>
            <rFont val="Tahoma"/>
            <family val="2"/>
          </rPr>
          <t xml:space="preserve"> from the the "Design"
worksheet, because these values are updated only at the
end of the calculation.</t>
        </r>
      </text>
    </comment>
    <comment ref="D1" authorId="0" shapeId="0" xr:uid="{00000000-0006-0000-0300-000004000000}">
      <text>
        <r>
          <rPr>
            <b/>
            <sz val="10"/>
            <color indexed="8"/>
            <rFont val="Tahoma"/>
            <family val="2"/>
          </rPr>
          <t xml:space="preserve">Tube internal wall roughess, for use in calculating water flow friction
 </t>
        </r>
        <r>
          <rPr>
            <sz val="10"/>
            <color indexed="8"/>
            <rFont val="Tahoma"/>
            <family val="2"/>
          </rPr>
          <t>[mm]</t>
        </r>
        <r>
          <rPr>
            <b/>
            <sz val="10"/>
            <color indexed="8"/>
            <rFont val="Tahoma"/>
            <family val="2"/>
          </rPr>
          <t xml:space="preserve">
</t>
        </r>
        <r>
          <rPr>
            <b/>
            <sz val="10"/>
            <color indexed="10"/>
            <rFont val="Tahoma"/>
            <family val="2"/>
          </rPr>
          <t xml:space="preserve">This is only relevant for rows specifying tube wall conductivity, i.e. </t>
        </r>
        <r>
          <rPr>
            <b/>
            <i/>
            <sz val="10"/>
            <color indexed="10"/>
            <rFont val="Tahoma"/>
            <family val="2"/>
          </rPr>
          <t>k</t>
        </r>
        <r>
          <rPr>
            <b/>
            <sz val="10"/>
            <color indexed="8"/>
            <rFont val="Tahoma"/>
            <family val="2"/>
          </rPr>
          <t xml:space="preserve">
If no value of rougness is specified, then an ideal smooth surface is
assumed. This value is very dependent on the material type and
manufacturing process, and can be in the range 0.0015</t>
        </r>
        <r>
          <rPr>
            <b/>
            <sz val="10"/>
            <color indexed="8"/>
            <rFont val="Arial"/>
            <family val="2"/>
          </rPr>
          <t>~</t>
        </r>
        <r>
          <rPr>
            <b/>
            <sz val="10"/>
            <color indexed="8"/>
            <rFont val="Tahoma"/>
            <family val="2"/>
          </rPr>
          <t>0.007 for 
PVC and other plastic pipes.</t>
        </r>
      </text>
    </comment>
    <comment ref="E1" authorId="0" shapeId="0" xr:uid="{00000000-0006-0000-03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300-000006000000}">
      <text>
        <r>
          <rPr>
            <b/>
            <sz val="10"/>
            <color indexed="81"/>
            <rFont val="Tahoma"/>
            <family val="2"/>
          </rPr>
          <t xml:space="preserve">
It is recommended that this top row of data is kept empty
</t>
        </r>
      </text>
    </comment>
    <comment ref="A20" authorId="0" shapeId="0" xr:uid="{00000000-0006-0000-03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G. Schild</author>
  </authors>
  <commentList>
    <comment ref="A1" authorId="0" shapeId="0" xr:uid="{00000000-0006-0000-0400-000001000000}">
      <text>
        <r>
          <rPr>
            <b/>
            <sz val="10"/>
            <color indexed="8"/>
            <rFont val="Tahoma"/>
            <family val="2"/>
          </rPr>
          <t xml:space="preserve">Each type of heat transfer coefficient must have a </t>
        </r>
        <r>
          <rPr>
            <b/>
            <u/>
            <sz val="10"/>
            <color indexed="8"/>
            <rFont val="Tahoma"/>
            <family val="2"/>
          </rPr>
          <t>unique</t>
        </r>
        <r>
          <rPr>
            <b/>
            <sz val="10"/>
            <color indexed="8"/>
            <rFont val="Tahoma"/>
            <family val="2"/>
          </rPr>
          <t xml:space="preserve"> description.</t>
        </r>
      </text>
    </comment>
    <comment ref="B1" authorId="0" shapeId="0" xr:uid="{00000000-0006-0000-0400-000002000000}">
      <text>
        <r>
          <rPr>
            <b/>
            <sz val="10"/>
            <color indexed="8"/>
            <rFont val="Tahoma"/>
            <family val="2"/>
          </rPr>
          <t xml:space="preserve">Surface heat transfer coefficient between surface and room mean temperature.
This is for surface heat transfer by combined convection and radiation.
</t>
        </r>
        <r>
          <rPr>
            <b/>
            <sz val="10"/>
            <color indexed="10"/>
            <rFont val="Tahoma"/>
            <family val="2"/>
          </rPr>
          <t xml:space="preserve">Do not specify both </t>
        </r>
        <r>
          <rPr>
            <b/>
            <i/>
            <sz val="10"/>
            <color indexed="10"/>
            <rFont val="Tahoma"/>
            <family val="2"/>
          </rPr>
          <t>h</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t>
        </r>
        <r>
          <rPr>
            <b/>
            <i/>
            <sz val="10"/>
            <color indexed="8"/>
            <rFont val="Tahoma"/>
            <family val="2"/>
          </rPr>
          <t>Q</t>
        </r>
        <r>
          <rPr>
            <b/>
            <sz val="10"/>
            <color indexed="8"/>
            <rFont val="Tahoma"/>
            <family val="2"/>
          </rPr>
          <t xml:space="preserve">  =  </t>
        </r>
        <r>
          <rPr>
            <b/>
            <i/>
            <sz val="10"/>
            <color indexed="8"/>
            <rFont val="Tahoma"/>
            <family val="2"/>
          </rPr>
          <t>h</t>
        </r>
        <r>
          <rPr>
            <b/>
            <sz val="10"/>
            <color indexed="8"/>
            <rFont val="Tahoma"/>
            <family val="2"/>
          </rPr>
          <t xml:space="preserve">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i/>
            <sz val="10"/>
            <color indexed="8"/>
            <rFont val="Tahoma"/>
            <family val="2"/>
          </rPr>
          <t xml:space="preserve">
</t>
        </r>
        <r>
          <rPr>
            <b/>
            <sz val="10"/>
            <color indexed="8"/>
            <rFont val="Tahoma"/>
            <family val="2"/>
          </rPr>
          <t xml:space="preserve">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b/>
            <i/>
            <sz val="10"/>
            <color indexed="8"/>
            <rFont val="Tahoma"/>
            <family val="2"/>
          </rPr>
          <t>R</t>
        </r>
        <r>
          <rPr>
            <b/>
            <sz val="10"/>
            <color indexed="8"/>
            <rFont val="Tahoma"/>
            <family val="2"/>
          </rPr>
          <t xml:space="preserve"> = surface heat transfer resistance</t>
        </r>
        <r>
          <rPr>
            <sz val="10"/>
            <color indexed="8"/>
            <rFont val="Tahoma"/>
            <family val="2"/>
          </rPr>
          <t xml:space="preserve"> (for combined convection and radiation)  [m²K/W]</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 xml:space="preserve">(n=1 by default. One exception is n=1.1 given in EN 15377-1 for for surface heating/cooling)
</t>
        </r>
        <r>
          <rPr>
            <b/>
            <sz val="10"/>
            <color indexed="8"/>
            <rFont val="Tahoma"/>
            <family val="2"/>
          </rPr>
          <t xml:space="preserve">Relationship between </t>
        </r>
        <r>
          <rPr>
            <b/>
            <i/>
            <sz val="10"/>
            <color indexed="8"/>
            <rFont val="Tahoma"/>
            <family val="2"/>
          </rPr>
          <t>h</t>
        </r>
        <r>
          <rPr>
            <b/>
            <sz val="10"/>
            <color indexed="8"/>
            <rFont val="Tahoma"/>
            <family val="2"/>
          </rPr>
          <t xml:space="preserve"> and </t>
        </r>
        <r>
          <rPr>
            <b/>
            <i/>
            <sz val="10"/>
            <color indexed="8"/>
            <rFont val="Tahoma"/>
            <family val="2"/>
          </rPr>
          <t>R</t>
        </r>
        <r>
          <rPr>
            <b/>
            <sz val="10"/>
            <color indexed="8"/>
            <rFont val="Tahoma"/>
            <family val="2"/>
          </rPr>
          <t>:</t>
        </r>
        <r>
          <rPr>
            <sz val="10"/>
            <color indexed="8"/>
            <rFont val="Tahoma"/>
            <family val="2"/>
          </rPr>
          <t xml:space="preserve">
 </t>
        </r>
        <r>
          <rPr>
            <b/>
            <i/>
            <sz val="10"/>
            <color indexed="8"/>
            <rFont val="Tahoma"/>
            <family val="2"/>
          </rPr>
          <t>h</t>
        </r>
        <r>
          <rPr>
            <b/>
            <sz val="10"/>
            <color indexed="8"/>
            <rFont val="Tahoma"/>
            <family val="2"/>
          </rPr>
          <t xml:space="preserve">  =  1 </t>
        </r>
        <r>
          <rPr>
            <b/>
            <i/>
            <sz val="10"/>
            <color indexed="8"/>
            <rFont val="Tahoma"/>
            <family val="2"/>
          </rPr>
          <t>/</t>
        </r>
        <r>
          <rPr>
            <b/>
            <sz val="10"/>
            <color indexed="8"/>
            <rFont val="Tahoma"/>
            <family val="2"/>
          </rPr>
          <t xml:space="preserve"> </t>
        </r>
        <r>
          <rPr>
            <b/>
            <i/>
            <sz val="10"/>
            <color indexed="8"/>
            <rFont val="Tahoma"/>
            <family val="2"/>
          </rPr>
          <t>R</t>
        </r>
      </text>
    </comment>
    <comment ref="C1" authorId="0" shapeId="0" xr:uid="{00000000-0006-0000-0400-000003000000}">
      <text>
        <r>
          <rPr>
            <b/>
            <sz val="10"/>
            <color indexed="8"/>
            <rFont val="Tahoma"/>
            <family val="2"/>
          </rPr>
          <t xml:space="preserve">Thermal resistance between surface and room mean temperature.
This is for surface heat transfer by combined convection and radiation.
</t>
        </r>
        <r>
          <rPr>
            <b/>
            <sz val="10"/>
            <color indexed="10"/>
            <rFont val="Tahoma"/>
            <family val="2"/>
          </rPr>
          <t xml:space="preserve">Do not specify both </t>
        </r>
        <r>
          <rPr>
            <b/>
            <i/>
            <sz val="10"/>
            <color indexed="10"/>
            <rFont val="Tahoma"/>
            <family val="2"/>
          </rPr>
          <t>h</t>
        </r>
        <r>
          <rPr>
            <b/>
            <sz val="10"/>
            <color indexed="10"/>
            <rFont val="Tahoma"/>
            <family val="2"/>
          </rPr>
          <t xml:space="preserve"> and </t>
        </r>
        <r>
          <rPr>
            <b/>
            <i/>
            <sz val="10"/>
            <color indexed="10"/>
            <rFont val="Tahoma"/>
            <family val="2"/>
          </rPr>
          <t>R</t>
        </r>
        <r>
          <rPr>
            <b/>
            <sz val="10"/>
            <color indexed="10"/>
            <rFont val="Tahoma"/>
            <family val="2"/>
          </rPr>
          <t xml:space="preserve"> for the same item !</t>
        </r>
        <r>
          <rPr>
            <b/>
            <sz val="10"/>
            <color indexed="8"/>
            <rFont val="Tahoma"/>
            <family val="2"/>
          </rPr>
          <t xml:space="preserve">
 </t>
        </r>
        <r>
          <rPr>
            <b/>
            <i/>
            <sz val="10"/>
            <color indexed="8"/>
            <rFont val="Tahoma"/>
            <family val="2"/>
          </rPr>
          <t>Q</t>
        </r>
        <r>
          <rPr>
            <b/>
            <sz val="10"/>
            <color indexed="8"/>
            <rFont val="Tahoma"/>
            <family val="2"/>
          </rPr>
          <t xml:space="preserve">  =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t>
        </r>
        <r>
          <rPr>
            <b/>
            <i/>
            <sz val="10"/>
            <color indexed="8"/>
            <rFont val="Tahoma"/>
            <family val="2"/>
          </rPr>
          <t>/</t>
        </r>
        <r>
          <rPr>
            <b/>
            <sz val="10"/>
            <color indexed="8"/>
            <rFont val="Tahoma"/>
            <family val="2"/>
          </rPr>
          <t xml:space="preserve"> </t>
        </r>
        <r>
          <rPr>
            <b/>
            <i/>
            <sz val="10"/>
            <color indexed="8"/>
            <rFont val="Tahoma"/>
            <family val="2"/>
          </rPr>
          <t xml:space="preserve">R
</t>
        </r>
        <r>
          <rPr>
            <b/>
            <sz val="10"/>
            <color indexed="8"/>
            <rFont val="Tahoma"/>
            <family val="2"/>
          </rPr>
          <t xml:space="preserve">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 xml:space="preserve"> R </t>
        </r>
        <r>
          <rPr>
            <b/>
            <sz val="10"/>
            <color indexed="8"/>
            <rFont val="Tahoma"/>
            <family val="2"/>
          </rPr>
          <t xml:space="preserve">= surface heat transfer resistance </t>
        </r>
        <r>
          <rPr>
            <sz val="10"/>
            <color indexed="8"/>
            <rFont val="Tahoma"/>
            <family val="2"/>
          </rPr>
          <t xml:space="preserve">(for combined convection and radiation)  [m²K/W]
</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 xml:space="preserve">n=1 by default. One exception is n=1.1 given in EN 15377-1 for for surface heating/cooling)
</t>
        </r>
        <r>
          <rPr>
            <b/>
            <sz val="10"/>
            <color indexed="8"/>
            <rFont val="Tahoma"/>
            <family val="2"/>
          </rPr>
          <t xml:space="preserve">Relationship between </t>
        </r>
        <r>
          <rPr>
            <b/>
            <i/>
            <sz val="10"/>
            <color indexed="8"/>
            <rFont val="Tahoma"/>
            <family val="2"/>
          </rPr>
          <t>R</t>
        </r>
        <r>
          <rPr>
            <b/>
            <sz val="10"/>
            <color indexed="8"/>
            <rFont val="Tahoma"/>
            <family val="2"/>
          </rPr>
          <t xml:space="preserve"> and </t>
        </r>
        <r>
          <rPr>
            <b/>
            <i/>
            <sz val="10"/>
            <color indexed="8"/>
            <rFont val="Tahoma"/>
            <family val="2"/>
          </rPr>
          <t>h</t>
        </r>
        <r>
          <rPr>
            <b/>
            <sz val="10"/>
            <color indexed="8"/>
            <rFont val="Tahoma"/>
            <family val="2"/>
          </rPr>
          <t>:</t>
        </r>
        <r>
          <rPr>
            <sz val="10"/>
            <color indexed="8"/>
            <rFont val="Tahoma"/>
            <family val="2"/>
          </rPr>
          <t xml:space="preserve">
 </t>
        </r>
        <r>
          <rPr>
            <b/>
            <i/>
            <sz val="10"/>
            <color indexed="8"/>
            <rFont val="Tahoma"/>
            <family val="2"/>
          </rPr>
          <t>R</t>
        </r>
        <r>
          <rPr>
            <b/>
            <sz val="10"/>
            <color indexed="8"/>
            <rFont val="Tahoma"/>
            <family val="2"/>
          </rPr>
          <t xml:space="preserve">  =  1 </t>
        </r>
        <r>
          <rPr>
            <b/>
            <i/>
            <sz val="10"/>
            <color indexed="8"/>
            <rFont val="Tahoma"/>
            <family val="2"/>
          </rPr>
          <t>/</t>
        </r>
        <r>
          <rPr>
            <b/>
            <sz val="10"/>
            <color indexed="8"/>
            <rFont val="Tahoma"/>
            <family val="2"/>
          </rPr>
          <t xml:space="preserve"> </t>
        </r>
        <r>
          <rPr>
            <b/>
            <i/>
            <sz val="10"/>
            <color indexed="8"/>
            <rFont val="Tahoma"/>
            <family val="2"/>
          </rPr>
          <t>h</t>
        </r>
      </text>
    </comment>
    <comment ref="D1" authorId="0" shapeId="0" xr:uid="{00000000-0006-0000-0400-000004000000}">
      <text>
        <r>
          <rPr>
            <b/>
            <sz val="10"/>
            <color indexed="8"/>
            <rFont val="Tahoma"/>
            <family val="2"/>
          </rPr>
          <t xml:space="preserve">Exponent of surface heat transfer correlation.
By default it is assumed that n=1.  This column need only be filled if n&lt;&gt;1
</t>
        </r>
        <r>
          <rPr>
            <b/>
            <i/>
            <sz val="10"/>
            <color indexed="8"/>
            <rFont val="Tahoma"/>
            <family val="2"/>
          </rPr>
          <t>Q</t>
        </r>
        <r>
          <rPr>
            <b/>
            <sz val="10"/>
            <color indexed="8"/>
            <rFont val="Tahoma"/>
            <family val="2"/>
          </rPr>
          <t xml:space="preserve">   =   </t>
        </r>
        <r>
          <rPr>
            <b/>
            <i/>
            <sz val="10"/>
            <color indexed="8"/>
            <rFont val="Tahoma"/>
            <family val="2"/>
          </rPr>
          <t>h</t>
        </r>
        <r>
          <rPr>
            <b/>
            <sz val="10"/>
            <color indexed="8"/>
            <rFont val="Tahoma"/>
            <family val="2"/>
          </rPr>
          <t xml:space="preserve"> </t>
        </r>
        <r>
          <rPr>
            <sz val="10"/>
            <color indexed="8"/>
            <rFont val="Tahoma"/>
            <family val="2"/>
          </rPr>
          <t>(∆</t>
        </r>
        <r>
          <rPr>
            <b/>
            <i/>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   </t>
        </r>
        <r>
          <rPr>
            <sz val="10"/>
            <color indexed="8"/>
            <rFont val="Tahoma"/>
            <family val="2"/>
          </rPr>
          <t>(∆</t>
        </r>
        <r>
          <rPr>
            <b/>
            <sz val="10"/>
            <color indexed="8"/>
            <rFont val="Tahoma"/>
            <family val="2"/>
          </rPr>
          <t>T</t>
        </r>
        <r>
          <rPr>
            <sz val="10"/>
            <color indexed="8"/>
            <rFont val="Tahoma"/>
            <family val="2"/>
          </rPr>
          <t>)</t>
        </r>
        <r>
          <rPr>
            <b/>
            <vertAlign val="superscript"/>
            <sz val="10"/>
            <color indexed="8"/>
            <rFont val="Tahoma"/>
            <family val="2"/>
          </rPr>
          <t>n</t>
        </r>
        <r>
          <rPr>
            <b/>
            <sz val="10"/>
            <color indexed="8"/>
            <rFont val="Tahoma"/>
            <family val="2"/>
          </rPr>
          <t xml:space="preserve"> / </t>
        </r>
        <r>
          <rPr>
            <b/>
            <i/>
            <sz val="10"/>
            <color indexed="8"/>
            <rFont val="Tahoma"/>
            <family val="2"/>
          </rPr>
          <t>R</t>
        </r>
        <r>
          <rPr>
            <b/>
            <sz val="10"/>
            <color indexed="8"/>
            <rFont val="Tahoma"/>
            <family val="2"/>
          </rPr>
          <t xml:space="preserve">
where:
 </t>
        </r>
        <r>
          <rPr>
            <b/>
            <i/>
            <sz val="10"/>
            <color indexed="8"/>
            <rFont val="Tahoma"/>
            <family val="2"/>
          </rPr>
          <t>Q</t>
        </r>
        <r>
          <rPr>
            <b/>
            <sz val="10"/>
            <color indexed="8"/>
            <rFont val="Tahoma"/>
            <family val="2"/>
          </rPr>
          <t xml:space="preserve"> = surface heat transfer </t>
        </r>
        <r>
          <rPr>
            <sz val="10"/>
            <color indexed="8"/>
            <rFont val="Tahoma"/>
            <family val="2"/>
          </rPr>
          <t>[W/m²]</t>
        </r>
        <r>
          <rPr>
            <b/>
            <sz val="10"/>
            <color indexed="8"/>
            <rFont val="Tahoma"/>
            <family val="2"/>
          </rPr>
          <t xml:space="preserve">
 </t>
        </r>
        <r>
          <rPr>
            <b/>
            <i/>
            <sz val="10"/>
            <color indexed="8"/>
            <rFont val="Tahoma"/>
            <family val="2"/>
          </rPr>
          <t>h</t>
        </r>
        <r>
          <rPr>
            <b/>
            <sz val="10"/>
            <color indexed="8"/>
            <rFont val="Tahoma"/>
            <family val="2"/>
          </rPr>
          <t xml:space="preserve"> = surface heat transfer coefficient</t>
        </r>
        <r>
          <rPr>
            <sz val="10"/>
            <color indexed="8"/>
            <rFont val="Tahoma"/>
            <family val="2"/>
          </rPr>
          <t xml:space="preserve"> (for combined convection and radiation)  [W/m²K]</t>
        </r>
        <r>
          <rPr>
            <b/>
            <sz val="10"/>
            <color indexed="8"/>
            <rFont val="Tahoma"/>
            <family val="2"/>
          </rPr>
          <t xml:space="preserve">
</t>
        </r>
        <r>
          <rPr>
            <b/>
            <i/>
            <sz val="10"/>
            <color indexed="8"/>
            <rFont val="Tahoma"/>
            <family val="2"/>
          </rPr>
          <t xml:space="preserve"> R </t>
        </r>
        <r>
          <rPr>
            <b/>
            <sz val="10"/>
            <color indexed="8"/>
            <rFont val="Tahoma"/>
            <family val="2"/>
          </rPr>
          <t xml:space="preserve">= surface heat transfer resistance </t>
        </r>
        <r>
          <rPr>
            <sz val="10"/>
            <color indexed="8"/>
            <rFont val="Tahoma"/>
            <family val="2"/>
          </rPr>
          <t>(for combined convection and radiation)  [m²K/W]</t>
        </r>
        <r>
          <rPr>
            <b/>
            <sz val="10"/>
            <color indexed="8"/>
            <rFont val="Tahoma"/>
            <family val="2"/>
          </rPr>
          <t xml:space="preserve">
 </t>
        </r>
        <r>
          <rPr>
            <sz val="10"/>
            <color indexed="8"/>
            <rFont val="Tahoma"/>
            <family val="2"/>
          </rPr>
          <t>∆</t>
        </r>
        <r>
          <rPr>
            <b/>
            <i/>
            <sz val="10"/>
            <color indexed="8"/>
            <rFont val="Tahoma"/>
            <family val="2"/>
          </rPr>
          <t>T</t>
        </r>
        <r>
          <rPr>
            <b/>
            <sz val="10"/>
            <color indexed="8"/>
            <rFont val="Tahoma"/>
            <family val="2"/>
          </rPr>
          <t xml:space="preserve"> = temperature difference between surface and room mean temperature</t>
        </r>
        <r>
          <rPr>
            <sz val="10"/>
            <color indexed="8"/>
            <rFont val="Tahoma"/>
            <family val="2"/>
          </rPr>
          <t xml:space="preserve"> [°C]</t>
        </r>
        <r>
          <rPr>
            <b/>
            <sz val="10"/>
            <color indexed="8"/>
            <rFont val="Tahoma"/>
            <family val="2"/>
          </rPr>
          <t xml:space="preserve">
 </t>
        </r>
        <r>
          <rPr>
            <b/>
            <i/>
            <sz val="10"/>
            <color indexed="8"/>
            <rFont val="Tahoma"/>
            <family val="2"/>
          </rPr>
          <t>n</t>
        </r>
        <r>
          <rPr>
            <b/>
            <sz val="10"/>
            <color indexed="8"/>
            <rFont val="Tahoma"/>
            <family val="2"/>
          </rPr>
          <t xml:space="preserve"> = exponent </t>
        </r>
        <r>
          <rPr>
            <sz val="10"/>
            <color indexed="8"/>
            <rFont val="Tahoma"/>
            <family val="2"/>
          </rPr>
          <t>(n=1 by default. One exception is n=1.1 given in EN 15377-1 for for surface heating/cooling)</t>
        </r>
      </text>
    </comment>
    <comment ref="E1" authorId="0" shapeId="0" xr:uid="{00000000-0006-0000-0400-000005000000}">
      <text>
        <r>
          <rPr>
            <b/>
            <sz val="10"/>
            <color indexed="8"/>
            <rFont val="Tahoma"/>
            <family val="2"/>
          </rPr>
          <t xml:space="preserve">Traceable reference for data.
</t>
        </r>
        <r>
          <rPr>
            <b/>
            <sz val="10"/>
            <color indexed="12"/>
            <rFont val="Tahoma"/>
            <family val="2"/>
          </rPr>
          <t>(This is only for information; it is not used in calculations)</t>
        </r>
      </text>
    </comment>
    <comment ref="A2" authorId="0" shapeId="0" xr:uid="{00000000-0006-0000-0400-000006000000}">
      <text>
        <r>
          <rPr>
            <b/>
            <sz val="10"/>
            <color indexed="81"/>
            <rFont val="Tahoma"/>
            <family val="2"/>
          </rPr>
          <t xml:space="preserve">
It is recommended that this top row of data is kept empty
</t>
        </r>
      </text>
    </comment>
    <comment ref="A20" authorId="0" shapeId="0" xr:uid="{00000000-0006-0000-0400-000007000000}">
      <text>
        <r>
          <rPr>
            <b/>
            <sz val="10"/>
            <color indexed="10"/>
            <rFont val="Tahoma"/>
            <family val="2"/>
          </rPr>
          <t xml:space="preserve">Do not delete this row.
</t>
        </r>
        <r>
          <rPr>
            <b/>
            <sz val="10"/>
            <color indexed="81"/>
            <rFont val="Tahoma"/>
            <family val="2"/>
          </rPr>
          <t>You can add new items in empty rows anywhere above [END OF LIST].
You can also expand the list by inserting new rows above [END OF LIST].</t>
        </r>
      </text>
    </comment>
  </commentList>
</comments>
</file>

<file path=xl/sharedStrings.xml><?xml version="1.0" encoding="utf-8"?>
<sst xmlns="http://schemas.openxmlformats.org/spreadsheetml/2006/main" count="298" uniqueCount="202">
  <si>
    <t>INPUT</t>
  </si>
  <si>
    <t>OUTPUT</t>
  </si>
  <si>
    <t>Description</t>
  </si>
  <si>
    <t>mm</t>
  </si>
  <si>
    <t>°C</t>
  </si>
  <si>
    <t>W/m²</t>
  </si>
  <si>
    <t>-</t>
  </si>
  <si>
    <t>1600-1900</t>
  </si>
  <si>
    <t>2300 - 2500</t>
  </si>
  <si>
    <t>Air : ca. 50mm gap, reflective surfaces (low emissivity)</t>
  </si>
  <si>
    <t>Air : ca. 10mm gap, reflective surfaces (low emissivity)</t>
  </si>
  <si>
    <t>Air : ca. 1-5mm gap, reflective surfaces (low emissivity)</t>
  </si>
  <si>
    <t>Air : ca. 100mm gap, reflective surfaces (low emissivity)</t>
  </si>
  <si>
    <t>Air : Outside surface, under floor</t>
  </si>
  <si>
    <t>?</t>
  </si>
  <si>
    <t>Air : Internal floor/wall surface, not heated (NS 3031)</t>
  </si>
  <si>
    <t>Air : Internal warm ceiling surface</t>
  </si>
  <si>
    <t>Air : Internal warm ceiling surface, reflective (low-e)</t>
  </si>
  <si>
    <t>Air : ca. 1-5mm horizontal gap</t>
  </si>
  <si>
    <t>Air : ca. 10mm horizontal gap</t>
  </si>
  <si>
    <t>Air : ca. 50mm horizontal gap</t>
  </si>
  <si>
    <t>Air : ca. 100mm horizontal gap</t>
  </si>
  <si>
    <t>Nordtest</t>
  </si>
  <si>
    <t>NBI</t>
  </si>
  <si>
    <t>Contact resistance + paper (NS 3031, good contact)</t>
  </si>
  <si>
    <t>Contact resistance + paper (NS 3031, less good contact)</t>
  </si>
  <si>
    <t>NS 3031</t>
  </si>
  <si>
    <t>www.epcserver.com</t>
  </si>
  <si>
    <t>[END OF LIST]</t>
  </si>
  <si>
    <t>Mean temp. of heat conducting layer</t>
  </si>
  <si>
    <t>►</t>
  </si>
  <si>
    <t>Choose optional labelling:</t>
  </si>
  <si>
    <t>▼ Material layers</t>
  </si>
  <si>
    <t>Air resistance ►</t>
  </si>
  <si>
    <r>
      <t>To paste into another Micosoft Office document, you should use the "</t>
    </r>
    <r>
      <rPr>
        <b/>
        <sz val="10"/>
        <color indexed="10"/>
        <rFont val="Arial"/>
        <family val="2"/>
      </rPr>
      <t>paste special</t>
    </r>
    <r>
      <rPr>
        <sz val="10"/>
        <color indexed="10"/>
        <rFont val="Arial"/>
        <family val="2"/>
      </rPr>
      <t>" function to paste it in as an "</t>
    </r>
    <r>
      <rPr>
        <b/>
        <sz val="10"/>
        <color indexed="10"/>
        <rFont val="Arial"/>
        <family val="2"/>
      </rPr>
      <t>Enhanced Metafile</t>
    </r>
    <r>
      <rPr>
        <sz val="10"/>
        <color indexed="10"/>
        <rFont val="Arial"/>
        <family val="2"/>
      </rPr>
      <t>" picture</t>
    </r>
  </si>
  <si>
    <r>
      <t>This cross-section drawing is already copied to the clipboard for you !</t>
    </r>
    <r>
      <rPr>
        <sz val="10"/>
        <rFont val="Arial"/>
        <family val="2"/>
      </rPr>
      <t xml:space="preserve">       (Note: this grey area is not printed if you print out this sheet)</t>
    </r>
  </si>
  <si>
    <t>Total</t>
  </si>
  <si>
    <r>
      <t>R</t>
    </r>
    <r>
      <rPr>
        <sz val="10"/>
        <color indexed="55"/>
        <rFont val="Arial"/>
        <family val="2"/>
      </rPr>
      <t xml:space="preserve">
[m²K/W]</t>
    </r>
  </si>
  <si>
    <t>Reference</t>
  </si>
  <si>
    <t>20~200</t>
  </si>
  <si>
    <r>
      <t xml:space="preserve">ρ
</t>
    </r>
    <r>
      <rPr>
        <sz val="10"/>
        <rFont val="Arial"/>
        <family val="2"/>
      </rPr>
      <t>[kg/m³]</t>
    </r>
  </si>
  <si>
    <r>
      <t>U-value</t>
    </r>
    <r>
      <rPr>
        <sz val="10"/>
        <color indexed="55"/>
        <rFont val="Arial"/>
        <family val="2"/>
      </rPr>
      <t xml:space="preserve">
[W/m²K]</t>
    </r>
  </si>
  <si>
    <t>geometry:</t>
  </si>
  <si>
    <t>prEN 15377-1 Annex G1</t>
  </si>
  <si>
    <t>SINTEF Byggforsk, Peter G. Schild</t>
  </si>
  <si>
    <t>prEN 15377-1; Nordtest VVS 127</t>
  </si>
  <si>
    <r>
      <t>k</t>
    </r>
    <r>
      <rPr>
        <b/>
        <sz val="10"/>
        <rFont val="Arial"/>
        <family val="2"/>
      </rPr>
      <t xml:space="preserve">
</t>
    </r>
    <r>
      <rPr>
        <sz val="10"/>
        <rFont val="Arial"/>
        <family val="2"/>
      </rPr>
      <t>[W/mK]</t>
    </r>
  </si>
  <si>
    <r>
      <t>R</t>
    </r>
    <r>
      <rPr>
        <b/>
        <sz val="10"/>
        <rFont val="Arial"/>
        <family val="2"/>
      </rPr>
      <t xml:space="preserve">
</t>
    </r>
    <r>
      <rPr>
        <sz val="10"/>
        <rFont val="Arial"/>
        <family val="2"/>
      </rPr>
      <t>[mK/W]</t>
    </r>
  </si>
  <si>
    <r>
      <t xml:space="preserve"> </t>
    </r>
    <r>
      <rPr>
        <b/>
        <i/>
        <sz val="10"/>
        <rFont val="Arial"/>
        <family val="2"/>
      </rPr>
      <t>k</t>
    </r>
    <r>
      <rPr>
        <b/>
        <sz val="10"/>
        <rFont val="Arial"/>
        <family val="2"/>
      </rPr>
      <t xml:space="preserve"> </t>
    </r>
    <r>
      <rPr>
        <sz val="10"/>
        <rFont val="Arial"/>
        <family val="2"/>
      </rPr>
      <t xml:space="preserve">
[W/mK]</t>
    </r>
  </si>
  <si>
    <r>
      <t xml:space="preserve"> </t>
    </r>
    <r>
      <rPr>
        <b/>
        <i/>
        <sz val="10"/>
        <rFont val="Arial"/>
        <family val="2"/>
      </rPr>
      <t>R</t>
    </r>
    <r>
      <rPr>
        <b/>
        <sz val="10"/>
        <rFont val="Arial"/>
        <family val="2"/>
      </rPr>
      <t xml:space="preserve"> </t>
    </r>
    <r>
      <rPr>
        <sz val="10"/>
        <rFont val="Arial"/>
        <family val="2"/>
      </rPr>
      <t xml:space="preserve">
[m²K/W]</t>
    </r>
  </si>
  <si>
    <r>
      <t>k</t>
    </r>
    <r>
      <rPr>
        <sz val="10"/>
        <color indexed="55"/>
        <rFont val="Arial"/>
        <family val="2"/>
      </rPr>
      <t xml:space="preserve">
[W/mK]</t>
    </r>
  </si>
  <si>
    <r>
      <t>n</t>
    </r>
    <r>
      <rPr>
        <sz val="10"/>
        <rFont val="Arial"/>
        <family val="2"/>
      </rPr>
      <t xml:space="preserve"> (eksponent)</t>
    </r>
  </si>
  <si>
    <r>
      <t>h</t>
    </r>
    <r>
      <rPr>
        <b/>
        <sz val="10"/>
        <rFont val="Arial"/>
        <family val="2"/>
      </rPr>
      <t xml:space="preserve">
</t>
    </r>
    <r>
      <rPr>
        <sz val="10"/>
        <rFont val="Arial"/>
        <family val="2"/>
      </rPr>
      <t>[W/m²K]</t>
    </r>
  </si>
  <si>
    <r>
      <t>R</t>
    </r>
    <r>
      <rPr>
        <b/>
        <sz val="10"/>
        <rFont val="Arial"/>
        <family val="2"/>
      </rPr>
      <t xml:space="preserve">
</t>
    </r>
    <r>
      <rPr>
        <sz val="10"/>
        <rFont val="Arial"/>
        <family val="2"/>
      </rPr>
      <t>[m²K/W]</t>
    </r>
  </si>
  <si>
    <t>Air : Internal HEATED FLOOR surface (EN/NordTest)</t>
  </si>
  <si>
    <t>Air : Internal COOLED CEILING surface (EN/NordTest)</t>
  </si>
  <si>
    <t>W</t>
  </si>
  <si>
    <r>
      <t>Tube wall roughness</t>
    </r>
    <r>
      <rPr>
        <i/>
        <sz val="10"/>
        <rFont val="Arial"/>
        <family val="2"/>
      </rPr>
      <t xml:space="preserve"> [mm]</t>
    </r>
  </si>
  <si>
    <t>SINTEF Byggforsk, Peter G. Schild (Internal macro function #1)</t>
  </si>
  <si>
    <t>[Eqn.1]</t>
  </si>
  <si>
    <r>
      <t>●</t>
    </r>
    <r>
      <rPr>
        <b/>
        <sz val="10"/>
        <rFont val="Arial"/>
        <family val="2"/>
      </rPr>
      <t xml:space="preserve"> Comments:</t>
    </r>
  </si>
  <si>
    <t>● Geometry:</t>
  </si>
  <si>
    <t>● Project name:</t>
  </si>
  <si>
    <t>● General:</t>
  </si>
  <si>
    <r>
      <t xml:space="preserve">Surface type </t>
    </r>
    <r>
      <rPr>
        <sz val="10"/>
        <color indexed="55"/>
        <rFont val="Arial"/>
        <family val="2"/>
      </rPr>
      <t>(floor, wall or ceiling)</t>
    </r>
  </si>
  <si>
    <r>
      <t xml:space="preserve">System type </t>
    </r>
    <r>
      <rPr>
        <sz val="10"/>
        <color indexed="55"/>
        <rFont val="Arial"/>
        <family val="2"/>
      </rPr>
      <t>(energy carrier)</t>
    </r>
  </si>
  <si>
    <t>Floor</t>
  </si>
  <si>
    <t>ISO 6946</t>
  </si>
  <si>
    <t>Board: Cardboard</t>
  </si>
  <si>
    <t>Board: Fibre hardboard type, medium density (MDF)</t>
  </si>
  <si>
    <t>Board: Fibreboard (trefiberplate)</t>
  </si>
  <si>
    <t>Board: Gipsplate</t>
  </si>
  <si>
    <t>Byggdetalj 471.010</t>
  </si>
  <si>
    <t>Board: Gypsum plaster board (giplsplate), high density</t>
  </si>
  <si>
    <t>Board: Gypsum plaster board (giplsplate), low density</t>
  </si>
  <si>
    <t>Board: Mineral fibre</t>
  </si>
  <si>
    <t>Board: Trefiberplate densitet</t>
  </si>
  <si>
    <t>Board: Trefiberplate, densitet 250 kg/m³</t>
  </si>
  <si>
    <t>Ceramic: Building brick (murstein)</t>
  </si>
  <si>
    <t>Ceramic: Fireclay brick</t>
  </si>
  <si>
    <t>Ceramic: Glass</t>
  </si>
  <si>
    <t>Ceramic: LECA block, 770 kg/m³, 2%RH (inside)</t>
  </si>
  <si>
    <t>LECA</t>
  </si>
  <si>
    <t>Ceramic: LECA block, 770 kg/m³, 4%RH (out above ground)</t>
  </si>
  <si>
    <t>Ceramic: LECA block, 770 kg/m³, 6%RH (subterranean)</t>
  </si>
  <si>
    <t>Ceramic: Mosaic tile cladding</t>
  </si>
  <si>
    <t>Ceramic: Teglvanger av mangelhullstein (108mm)</t>
  </si>
  <si>
    <t>Ceramic: Tiles (fliser)</t>
  </si>
  <si>
    <t>Concrete: Asphaltic</t>
  </si>
  <si>
    <t>Concrete: Dense (2400 kg/m3)</t>
  </si>
  <si>
    <t>Concrete: Dense (2400 kg/m3) with reinforcement (2% steel)</t>
  </si>
  <si>
    <t>Concrete: Dense, heavyweight aggregate</t>
  </si>
  <si>
    <t>Concrete: Lightweight aggragate</t>
  </si>
  <si>
    <t>Concrete: Medium lightweight aggragate</t>
  </si>
  <si>
    <t>Concrete: Normal</t>
  </si>
  <si>
    <t>Concrete: Polystyrene bead aggregate</t>
  </si>
  <si>
    <t>Contact resistance: good contact between surfaces</t>
  </si>
  <si>
    <t>Contact resistance: medium surface contact (NordTest)</t>
  </si>
  <si>
    <t>Contact resistance: very poor surface contact (NordTest)</t>
  </si>
  <si>
    <t>Floor covering: Carpet (with foam rubber)</t>
  </si>
  <si>
    <t>Floor covering: Linoleum</t>
  </si>
  <si>
    <t>Floor covering: Nylon felt carpet</t>
  </si>
  <si>
    <t>Insulation: Insulated wood floor structure, 48mm joist cc 600mm (gulvbjelkelag)</t>
  </si>
  <si>
    <t>Insulation: isolasjon kl 34</t>
  </si>
  <si>
    <t>pr definisjon</t>
  </si>
  <si>
    <t>Insulation: isolasjon kl 35</t>
  </si>
  <si>
    <t>Insulation: isolasjon kl 36</t>
  </si>
  <si>
    <t>Insulation: isolasjon kl 37</t>
  </si>
  <si>
    <t>Insulation: isolasjon kl 38</t>
  </si>
  <si>
    <t>Insulation: Perfect insulation (zero conductivity)</t>
  </si>
  <si>
    <t>Insulation: Polystyrene</t>
  </si>
  <si>
    <t>Insulation: Polystyrene, expanded (EPS) in ground</t>
  </si>
  <si>
    <t>Byggdetalj 471.014</t>
  </si>
  <si>
    <t>Insulation: Polystyrene, extruded (XPS) in ground, Styrofoam</t>
  </si>
  <si>
    <t>Insulation: Rockwool Drensplate, in ground</t>
  </si>
  <si>
    <t>Insulation: Rockwool Flexi A-plate</t>
  </si>
  <si>
    <t>Insulation: Rockwool Lydplate</t>
  </si>
  <si>
    <t>Insulation: Rockwool Markplate</t>
  </si>
  <si>
    <t>Byggforsk sertifikat 0808</t>
  </si>
  <si>
    <t>Insulation: Rockwool RockVegg</t>
  </si>
  <si>
    <t>Insulation: Rockwool Støpeplate Pluss</t>
  </si>
  <si>
    <t>Insulation: Synthetic foam (PUR, phenol acid, PVC)</t>
  </si>
  <si>
    <t>Insulation: Thin Multi-reflective Foil (IMTR)</t>
  </si>
  <si>
    <t>National Physical Laboratory</t>
  </si>
  <si>
    <t>Metal: Aluminium</t>
  </si>
  <si>
    <t>Metal: Copper</t>
  </si>
  <si>
    <t>Metal: Mild steel</t>
  </si>
  <si>
    <t>Metal: Stainless steel</t>
  </si>
  <si>
    <t>Metal: Stål</t>
  </si>
  <si>
    <t>Metal: Stål 148 mm slisset bunnsvil (kuttet, ikke stemplet)</t>
  </si>
  <si>
    <t>NBI beregninger med programmet THERM5 fra LBL, 2004</t>
  </si>
  <si>
    <t>Metal: Stål, 250 mm stendere (estimat)</t>
  </si>
  <si>
    <t>Metal: Stål, slisset stender (ca.)</t>
  </si>
  <si>
    <t>Metal: Zinc</t>
  </si>
  <si>
    <t>Organic: Felt, underlayment (filt)</t>
  </si>
  <si>
    <t>Organic: Rubber, hard</t>
  </si>
  <si>
    <t>Organic: Rubber, soft vulcanized</t>
  </si>
  <si>
    <t>Organic: Vindsperre/dampsperre</t>
  </si>
  <si>
    <t>Plaster/render: Cement/sand</t>
  </si>
  <si>
    <t>Plaster/render: Gypsum plaster</t>
  </si>
  <si>
    <t>Plaster/render: Lime plaster</t>
  </si>
  <si>
    <t>Plaster/render: Plaster</t>
  </si>
  <si>
    <t>Plastic: Polyester (GPV), PVC, Polyethene, Polypropene</t>
  </si>
  <si>
    <t>930 - 1400</t>
  </si>
  <si>
    <t>Screed: Anhydrit</t>
  </si>
  <si>
    <t>Screed: Asphalt</t>
  </si>
  <si>
    <t>Screed: Asphalt, shingle</t>
  </si>
  <si>
    <t>Screed: Bitumen</t>
  </si>
  <si>
    <t>Screed: Cement</t>
  </si>
  <si>
    <t>Screed: Grout (flislim)</t>
  </si>
  <si>
    <t>Screed: Puss: Kalk &amp; sand</t>
  </si>
  <si>
    <t>Screed: Puss: Sement &amp; sand</t>
  </si>
  <si>
    <t>Screed: Rescon Complan VR</t>
  </si>
  <si>
    <t>Screed: Termostøp</t>
  </si>
  <si>
    <t>Screed: Terrazzo</t>
  </si>
  <si>
    <t>Soil: Absolutely dry earth</t>
  </si>
  <si>
    <t>Soil: Clay or silt (ISO 13370)</t>
  </si>
  <si>
    <t>ISO 13370</t>
  </si>
  <si>
    <t>Soil: Homogeneous rock (ISO 13370)</t>
  </si>
  <si>
    <t>Soil: Sand or gravel, wet (ISO 13370)</t>
  </si>
  <si>
    <t>Soil: Sand, dry</t>
  </si>
  <si>
    <t>Soil: Typical soil (jord)</t>
  </si>
  <si>
    <t>Stone: Chalk, dry</t>
  </si>
  <si>
    <t>Stone: General homogeneous rock</t>
  </si>
  <si>
    <t>Stone: Granite</t>
  </si>
  <si>
    <t>Stone: Gravel (pukk)</t>
  </si>
  <si>
    <t>Stone: Limestone</t>
  </si>
  <si>
    <t>Stone: Løs lettklinker</t>
  </si>
  <si>
    <t>Stone: Marble</t>
  </si>
  <si>
    <t>Wood: Corkboard, dense</t>
  </si>
  <si>
    <t>Wood: Corkboard, less dense</t>
  </si>
  <si>
    <t>Wood: Hardwood-light: maple, cherry, douglas fir, elm</t>
  </si>
  <si>
    <t>470 - 600</t>
  </si>
  <si>
    <t>Wood: Particle-board/Hardboard, high density</t>
  </si>
  <si>
    <t>Wood: Softwood-light: cedar, sugar pine, white spruce</t>
  </si>
  <si>
    <t>310 - 380</t>
  </si>
  <si>
    <t>Wood: Softwood-normal: plywood, fir, pine, spruce, aspen</t>
  </si>
  <si>
    <t>400 - 460</t>
  </si>
  <si>
    <t>Wood: Trelast (gran, furu)</t>
  </si>
  <si>
    <t>Wood: Hardwood (700 kg/m³) e.g. parquet flooring</t>
  </si>
  <si>
    <t>Organic: Ullpapp (paper)</t>
  </si>
  <si>
    <t>Organic: Paper (ullpapp)</t>
  </si>
  <si>
    <t>Floor covering: Vinyl</t>
  </si>
  <si>
    <t>Insulation: Ethafoam / Expanded polyethylene (EPE) foam</t>
  </si>
  <si>
    <t>(Range k= 0.13 - 0.25)</t>
  </si>
  <si>
    <t>Floor covering: Cork tiles</t>
  </si>
  <si>
    <t xml:space="preserve">http://www.floortec.net/cork_technical_information.htm (k=0.0425 - 0.06) </t>
  </si>
  <si>
    <t>NBI Technical Approval document</t>
  </si>
  <si>
    <t>NBI Technical Approval 2330</t>
  </si>
  <si>
    <t>Insulation: Roth Silencio trinnlydsplate</t>
  </si>
  <si>
    <t>Contact resistance: 1mm air gap, 40°C</t>
  </si>
  <si>
    <t>Contact resistance: 1mm air gap, 90°C</t>
  </si>
  <si>
    <t>estimated using ISO 6946</t>
  </si>
  <si>
    <t>Hydronic</t>
  </si>
  <si>
    <t>Tube wall : PE-X</t>
  </si>
  <si>
    <t>Air : Outside surface, any orientation (ISO 6946)</t>
  </si>
  <si>
    <t>Total:</t>
  </si>
  <si>
    <t>Downwards R:</t>
  </si>
  <si>
    <t>Contact resistance : Tube embedded directly in filler layer</t>
  </si>
  <si>
    <t>Example underfloor heating system</t>
  </si>
  <si>
    <t>(white background)  both</t>
  </si>
  <si>
    <t xml:space="preserve">Efficient low-temperature heating system. Only 9% dissatisfied due to floor temperature (Class 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</si>
</sst>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quot;●&quot;\ @\ "/>
  </numFmts>
  <fonts count="36" x14ac:knownFonts="1">
    <font>
      <sz val="10"/>
      <name val="Arial"/>
    </font>
    <font>
      <sz val="10"/>
      <name val="Arial"/>
      <family val="2"/>
    </font>
    <font>
      <sz val="10"/>
      <name val="Arial"/>
      <family val="2"/>
    </font>
    <font>
      <b/>
      <sz val="10"/>
      <name val="Arial"/>
      <family val="2"/>
    </font>
    <font>
      <b/>
      <sz val="10"/>
      <color indexed="12"/>
      <name val="Arial"/>
      <family val="2"/>
    </font>
    <font>
      <sz val="10"/>
      <color indexed="55"/>
      <name val="Arial"/>
      <family val="2"/>
    </font>
    <font>
      <b/>
      <sz val="10"/>
      <color indexed="8"/>
      <name val="Tahoma"/>
      <family val="2"/>
    </font>
    <font>
      <b/>
      <i/>
      <sz val="10"/>
      <color indexed="8"/>
      <name val="Tahoma"/>
      <family val="2"/>
    </font>
    <font>
      <b/>
      <sz val="10"/>
      <color indexed="8"/>
      <name val="Symbol"/>
      <family val="1"/>
      <charset val="2"/>
    </font>
    <font>
      <b/>
      <u/>
      <sz val="10"/>
      <color indexed="8"/>
      <name val="Tahoma"/>
      <family val="2"/>
    </font>
    <font>
      <i/>
      <sz val="10"/>
      <color indexed="8"/>
      <name val="Tahoma"/>
      <family val="2"/>
    </font>
    <font>
      <b/>
      <sz val="10"/>
      <color indexed="10"/>
      <name val="Arial"/>
      <family val="2"/>
    </font>
    <font>
      <b/>
      <sz val="10"/>
      <color indexed="12"/>
      <name val="Tahoma"/>
      <family val="2"/>
    </font>
    <font>
      <sz val="10"/>
      <color indexed="10"/>
      <name val="Arial"/>
      <family val="2"/>
    </font>
    <font>
      <sz val="10"/>
      <color indexed="12"/>
      <name val="Arial"/>
      <family val="2"/>
    </font>
    <font>
      <b/>
      <sz val="10"/>
      <color indexed="10"/>
      <name val="Tahoma"/>
      <family val="2"/>
    </font>
    <font>
      <sz val="10"/>
      <color indexed="12"/>
      <name val="Tahoma"/>
      <family val="2"/>
    </font>
    <font>
      <sz val="10"/>
      <color indexed="17"/>
      <name val="Arial"/>
      <family val="2"/>
    </font>
    <font>
      <sz val="10"/>
      <color indexed="8"/>
      <name val="Tahoma"/>
      <family val="2"/>
    </font>
    <font>
      <sz val="8"/>
      <color indexed="12"/>
      <name val="Arial Narrow"/>
      <family val="2"/>
    </font>
    <font>
      <sz val="8"/>
      <name val="Arial"/>
      <family val="2"/>
    </font>
    <font>
      <b/>
      <sz val="10"/>
      <color indexed="55"/>
      <name val="Arial"/>
      <family val="2"/>
    </font>
    <font>
      <sz val="10"/>
      <color indexed="55"/>
      <name val="Arial"/>
      <family val="2"/>
    </font>
    <font>
      <b/>
      <sz val="10"/>
      <color indexed="81"/>
      <name val="Tahoma"/>
      <family val="2"/>
    </font>
    <font>
      <sz val="10"/>
      <color indexed="8"/>
      <name val="Arial"/>
      <family val="2"/>
    </font>
    <font>
      <b/>
      <sz val="16"/>
      <color indexed="10"/>
      <name val="Arial"/>
      <family val="2"/>
    </font>
    <font>
      <sz val="10"/>
      <color indexed="22"/>
      <name val="Arial"/>
      <family val="2"/>
    </font>
    <font>
      <b/>
      <vertAlign val="superscript"/>
      <sz val="10"/>
      <color indexed="8"/>
      <name val="Tahoma"/>
      <family val="2"/>
    </font>
    <font>
      <b/>
      <i/>
      <sz val="10"/>
      <color indexed="10"/>
      <name val="Tahoma"/>
      <family val="2"/>
    </font>
    <font>
      <b/>
      <i/>
      <sz val="10"/>
      <color indexed="81"/>
      <name val="Tahoma"/>
      <family val="2"/>
    </font>
    <font>
      <b/>
      <i/>
      <sz val="10"/>
      <name val="Arial"/>
      <family val="2"/>
    </font>
    <font>
      <i/>
      <sz val="10"/>
      <name val="Arial"/>
      <family val="2"/>
    </font>
    <font>
      <b/>
      <sz val="10"/>
      <color indexed="8"/>
      <name val="Arial"/>
      <family val="2"/>
    </font>
    <font>
      <b/>
      <sz val="10"/>
      <name val="Arial"/>
      <family val="2"/>
    </font>
    <font>
      <sz val="10"/>
      <color indexed="10"/>
      <name val="Tahoma"/>
      <family val="2"/>
    </font>
    <font>
      <sz val="10"/>
      <name val="Arial Narrow"/>
      <family val="2"/>
    </font>
  </fonts>
  <fills count="8">
    <fill>
      <patternFill patternType="none"/>
    </fill>
    <fill>
      <patternFill patternType="gray125"/>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indexed="41"/>
        <bgColor indexed="64"/>
      </patternFill>
    </fill>
    <fill>
      <patternFill patternType="solid">
        <fgColor indexed="22"/>
        <bgColor indexed="64"/>
      </patternFill>
    </fill>
    <fill>
      <patternFill patternType="solid">
        <fgColor indexed="5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hair">
        <color indexed="64"/>
      </left>
      <right style="hair">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ck">
        <color indexed="9"/>
      </top>
      <bottom/>
      <diagonal/>
    </border>
    <border>
      <left/>
      <right style="thin">
        <color indexed="64"/>
      </right>
      <top style="thick">
        <color indexed="9"/>
      </top>
      <bottom/>
      <diagonal/>
    </border>
    <border>
      <left style="thin">
        <color indexed="64"/>
      </left>
      <right/>
      <top style="thick">
        <color indexed="9"/>
      </top>
      <bottom/>
      <diagonal/>
    </border>
    <border>
      <left/>
      <right style="thin">
        <color indexed="64"/>
      </right>
      <top/>
      <bottom/>
      <diagonal/>
    </border>
    <border>
      <left/>
      <right/>
      <top style="hair">
        <color indexed="55"/>
      </top>
      <bottom/>
      <diagonal/>
    </border>
    <border>
      <left/>
      <right style="thin">
        <color indexed="64"/>
      </right>
      <top style="hair">
        <color indexed="55"/>
      </top>
      <bottom/>
      <diagonal/>
    </border>
    <border>
      <left/>
      <right/>
      <top/>
      <bottom style="hair">
        <color indexed="55"/>
      </bottom>
      <diagonal/>
    </border>
    <border>
      <left/>
      <right style="thin">
        <color indexed="64"/>
      </right>
      <top/>
      <bottom style="hair">
        <color indexed="55"/>
      </bottom>
      <diagonal/>
    </border>
    <border>
      <left/>
      <right/>
      <top/>
      <bottom style="thick">
        <color indexed="9"/>
      </bottom>
      <diagonal/>
    </border>
    <border>
      <left/>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6">
    <xf numFmtId="0" fontId="0" fillId="2" borderId="0" applyProtection="0">
      <alignment vertical="center"/>
    </xf>
    <xf numFmtId="0" fontId="1" fillId="3" borderId="0" applyNumberFormat="0" applyProtection="0">
      <alignment vertical="center"/>
      <protection locked="0" hidden="1"/>
    </xf>
    <xf numFmtId="9" fontId="1" fillId="0" borderId="0" applyFont="0" applyFill="0" applyBorder="0" applyAlignment="0" applyProtection="0"/>
    <xf numFmtId="0" fontId="1" fillId="4" borderId="0" applyNumberFormat="0" applyFont="0" applyBorder="0">
      <alignment vertical="center"/>
    </xf>
    <xf numFmtId="0" fontId="14" fillId="3" borderId="1" applyNumberFormat="0" applyAlignment="0">
      <alignment horizontal="right"/>
      <protection locked="0"/>
    </xf>
    <xf numFmtId="0" fontId="2" fillId="5" borderId="0" applyNumberFormat="0" applyFont="0" applyBorder="0" applyAlignment="0">
      <protection locked="0"/>
    </xf>
  </cellStyleXfs>
  <cellXfs count="140">
    <xf numFmtId="0" fontId="0" fillId="2" borderId="0" xfId="0">
      <alignment vertical="center"/>
    </xf>
    <xf numFmtId="0" fontId="0" fillId="3" borderId="0" xfId="0" applyFill="1">
      <alignment vertical="center"/>
    </xf>
    <xf numFmtId="0" fontId="0" fillId="3" borderId="0" xfId="0" applyFill="1" applyAlignment="1">
      <alignment horizontal="right"/>
    </xf>
    <xf numFmtId="0" fontId="13" fillId="6" borderId="0" xfId="0" applyFont="1" applyFill="1" applyAlignment="1">
      <alignment horizontal="right"/>
    </xf>
    <xf numFmtId="0" fontId="11" fillId="6" borderId="0" xfId="0" applyFont="1" applyFill="1">
      <alignment vertical="center"/>
    </xf>
    <xf numFmtId="0" fontId="13" fillId="6" borderId="0" xfId="0" applyFont="1" applyFill="1">
      <alignment vertical="center"/>
    </xf>
    <xf numFmtId="0" fontId="14" fillId="6" borderId="2" xfId="0" applyFont="1" applyFill="1" applyBorder="1" applyAlignment="1">
      <alignment horizontal="right"/>
    </xf>
    <xf numFmtId="0" fontId="4" fillId="6" borderId="2" xfId="0" applyFont="1" applyFill="1" applyBorder="1">
      <alignment vertical="center"/>
    </xf>
    <xf numFmtId="0" fontId="14" fillId="6" borderId="2" xfId="0" applyFont="1" applyFill="1" applyBorder="1">
      <alignment vertical="center"/>
    </xf>
    <xf numFmtId="0" fontId="17" fillId="6" borderId="2" xfId="0" applyFont="1" applyFill="1" applyBorder="1">
      <alignment vertical="center"/>
    </xf>
    <xf numFmtId="0" fontId="1" fillId="4" borderId="0" xfId="3" applyFont="1">
      <alignment vertical="center"/>
    </xf>
    <xf numFmtId="0" fontId="2" fillId="4" borderId="0" xfId="3" applyFont="1">
      <alignment vertical="center"/>
    </xf>
    <xf numFmtId="0" fontId="3" fillId="4" borderId="0" xfId="3" applyFont="1" applyBorder="1">
      <alignment vertical="center"/>
    </xf>
    <xf numFmtId="0" fontId="14" fillId="4" borderId="0" xfId="3" applyFont="1" applyAlignment="1">
      <alignment horizontal="right" vertical="center"/>
    </xf>
    <xf numFmtId="0" fontId="3" fillId="4" borderId="0" xfId="3" applyFont="1">
      <alignment vertical="center"/>
    </xf>
    <xf numFmtId="0" fontId="0" fillId="4" borderId="0" xfId="3" applyFont="1">
      <alignment vertical="center"/>
    </xf>
    <xf numFmtId="0" fontId="2" fillId="4" borderId="0" xfId="3" applyFont="1" applyBorder="1">
      <alignment vertical="center"/>
    </xf>
    <xf numFmtId="2" fontId="3" fillId="4" borderId="0" xfId="3" applyNumberFormat="1" applyFont="1" applyBorder="1">
      <alignment vertical="center"/>
    </xf>
    <xf numFmtId="0" fontId="0" fillId="4" borderId="0" xfId="3" applyFont="1" applyBorder="1">
      <alignment vertical="center"/>
    </xf>
    <xf numFmtId="165" fontId="3" fillId="4" borderId="0" xfId="3" applyNumberFormat="1" applyFont="1" applyBorder="1">
      <alignment vertical="center"/>
    </xf>
    <xf numFmtId="0" fontId="5" fillId="4" borderId="0" xfId="3" applyFont="1" applyBorder="1">
      <alignment vertical="center"/>
    </xf>
    <xf numFmtId="0" fontId="2" fillId="4" borderId="0" xfId="3" applyFont="1" applyAlignment="1">
      <alignment horizontal="left"/>
    </xf>
    <xf numFmtId="0" fontId="2" fillId="4" borderId="0" xfId="3" applyFont="1" applyAlignment="1">
      <alignment horizontal="right" vertical="center"/>
    </xf>
    <xf numFmtId="0" fontId="4" fillId="3" borderId="1" xfId="4" applyFont="1" applyAlignment="1">
      <alignment horizontal="center"/>
      <protection locked="0"/>
    </xf>
    <xf numFmtId="0" fontId="0" fillId="2" borderId="3" xfId="0" applyBorder="1">
      <alignment vertical="center"/>
    </xf>
    <xf numFmtId="0" fontId="0" fillId="2" borderId="4" xfId="0" applyBorder="1">
      <alignment vertical="center"/>
    </xf>
    <xf numFmtId="0" fontId="4" fillId="3" borderId="1" xfId="4" applyFont="1" applyAlignment="1">
      <alignment horizontal="center" vertical="center"/>
      <protection locked="0"/>
    </xf>
    <xf numFmtId="0" fontId="19" fillId="3" borderId="5" xfId="4" applyFont="1" applyBorder="1" applyAlignment="1">
      <alignment vertical="center"/>
      <protection locked="0"/>
    </xf>
    <xf numFmtId="0" fontId="19" fillId="3" borderId="6" xfId="4" applyFont="1" applyBorder="1" applyAlignment="1">
      <alignment vertical="center"/>
      <protection locked="0"/>
    </xf>
    <xf numFmtId="0" fontId="19" fillId="3" borderId="7" xfId="4" applyFont="1" applyBorder="1" applyAlignment="1">
      <alignment vertical="center"/>
      <protection locked="0"/>
    </xf>
    <xf numFmtId="0" fontId="1" fillId="3" borderId="0" xfId="1" applyProtection="1">
      <alignment vertical="center"/>
    </xf>
    <xf numFmtId="0" fontId="3" fillId="7" borderId="0" xfId="1" applyFont="1" applyFill="1" applyProtection="1">
      <alignment vertical="center"/>
    </xf>
    <xf numFmtId="0" fontId="1" fillId="3" borderId="8" xfId="1" applyBorder="1" applyProtection="1">
      <alignment vertical="center"/>
    </xf>
    <xf numFmtId="0" fontId="19" fillId="3" borderId="9" xfId="4" applyFont="1" applyBorder="1" applyAlignment="1">
      <alignment vertical="center"/>
      <protection locked="0"/>
    </xf>
    <xf numFmtId="0" fontId="19" fillId="3" borderId="10" xfId="4" applyFont="1" applyBorder="1" applyAlignment="1">
      <alignment vertical="center"/>
      <protection locked="0"/>
    </xf>
    <xf numFmtId="0" fontId="14" fillId="4" borderId="0" xfId="3" applyFont="1" applyAlignment="1">
      <alignment horizontal="right"/>
    </xf>
    <xf numFmtId="0" fontId="5" fillId="4" borderId="0" xfId="3" applyFont="1" applyBorder="1" applyAlignment="1">
      <alignment horizontal="right"/>
    </xf>
    <xf numFmtId="0" fontId="20" fillId="4" borderId="0" xfId="3" applyFont="1" applyAlignment="1">
      <alignment horizontal="right"/>
    </xf>
    <xf numFmtId="2" fontId="5" fillId="4" borderId="0" xfId="3" applyNumberFormat="1" applyFont="1" applyBorder="1" applyAlignment="1">
      <alignment horizontal="right" vertical="center"/>
    </xf>
    <xf numFmtId="0" fontId="21" fillId="4" borderId="0" xfId="3" applyFont="1" applyBorder="1" applyAlignment="1">
      <alignment horizontal="right"/>
    </xf>
    <xf numFmtId="0" fontId="22" fillId="4" borderId="0" xfId="3" applyFont="1" applyAlignment="1">
      <alignment horizontal="right" vertical="center"/>
    </xf>
    <xf numFmtId="0" fontId="0" fillId="2" borderId="3" xfId="0" applyBorder="1" applyAlignment="1">
      <alignment horizontal="left" vertical="center" indent="1"/>
    </xf>
    <xf numFmtId="0" fontId="0" fillId="2" borderId="0" xfId="0" applyAlignment="1">
      <alignment horizontal="left" vertical="center" indent="1"/>
    </xf>
    <xf numFmtId="0" fontId="3" fillId="4" borderId="0" xfId="3" applyFont="1" applyBorder="1" applyAlignment="1">
      <alignment horizontal="right" indent="1"/>
    </xf>
    <xf numFmtId="0" fontId="0" fillId="4" borderId="0" xfId="3" applyFont="1" applyAlignment="1">
      <alignment horizontal="right" indent="1"/>
    </xf>
    <xf numFmtId="0" fontId="0" fillId="2" borderId="3" xfId="0" applyBorder="1" applyAlignment="1">
      <alignment horizontal="right" vertical="center" indent="1"/>
    </xf>
    <xf numFmtId="0" fontId="0" fillId="2" borderId="0" xfId="0" applyAlignment="1">
      <alignment horizontal="right" vertical="center" indent="1"/>
    </xf>
    <xf numFmtId="0" fontId="3" fillId="4" borderId="4" xfId="3" applyFont="1" applyBorder="1" applyAlignment="1">
      <alignment horizontal="left" vertical="center" indent="1"/>
    </xf>
    <xf numFmtId="0" fontId="3" fillId="7" borderId="0" xfId="1" applyFont="1" applyFill="1" applyAlignment="1" applyProtection="1">
      <alignment horizontal="left" vertical="center" indent="1"/>
    </xf>
    <xf numFmtId="0" fontId="1" fillId="3" borderId="0" xfId="1" applyAlignment="1" applyProtection="1">
      <alignment horizontal="left" vertical="center" indent="1"/>
    </xf>
    <xf numFmtId="0" fontId="1" fillId="3" borderId="8" xfId="1" applyBorder="1" applyAlignment="1" applyProtection="1">
      <alignment horizontal="right" vertical="center"/>
    </xf>
    <xf numFmtId="0" fontId="1" fillId="3" borderId="8" xfId="1" applyFont="1" applyBorder="1" applyAlignment="1" applyProtection="1">
      <alignment horizontal="right" vertical="center"/>
    </xf>
    <xf numFmtId="0" fontId="3" fillId="7" borderId="8" xfId="1" applyFont="1" applyFill="1" applyBorder="1" applyAlignment="1" applyProtection="1">
      <alignment horizontal="center" vertical="center" wrapText="1"/>
    </xf>
    <xf numFmtId="0" fontId="1" fillId="3" borderId="0" xfId="1" applyFont="1" applyProtection="1">
      <alignment vertical="center"/>
    </xf>
    <xf numFmtId="0" fontId="25" fillId="4" borderId="0" xfId="3" applyFont="1">
      <alignment vertical="center"/>
    </xf>
    <xf numFmtId="0" fontId="25" fillId="4" borderId="4" xfId="3" applyFont="1" applyBorder="1" applyAlignment="1">
      <alignment horizontal="left" indent="1"/>
    </xf>
    <xf numFmtId="0" fontId="22" fillId="4" borderId="0" xfId="3" applyNumberFormat="1" applyFont="1">
      <alignment vertical="center"/>
    </xf>
    <xf numFmtId="0" fontId="26" fillId="4" borderId="0" xfId="3" applyNumberFormat="1" applyFont="1">
      <alignment vertical="center"/>
    </xf>
    <xf numFmtId="0" fontId="5" fillId="4" borderId="0" xfId="3" quotePrefix="1" applyFont="1" applyBorder="1" applyAlignment="1">
      <alignment horizontal="right"/>
    </xf>
    <xf numFmtId="0" fontId="2" fillId="4" borderId="0" xfId="3" applyFont="1" applyAlignment="1">
      <alignment horizontal="right"/>
    </xf>
    <xf numFmtId="0" fontId="22" fillId="4" borderId="0" xfId="3" applyFont="1" applyBorder="1" applyAlignment="1">
      <alignment horizontal="right"/>
    </xf>
    <xf numFmtId="2" fontId="5" fillId="4" borderId="0" xfId="3" applyNumberFormat="1" applyFont="1" applyBorder="1" applyAlignment="1">
      <alignment horizontal="right"/>
    </xf>
    <xf numFmtId="0" fontId="22" fillId="4" borderId="0" xfId="3" applyFont="1" applyBorder="1" applyAlignment="1">
      <alignment horizontal="right" vertical="center"/>
    </xf>
    <xf numFmtId="2" fontId="21" fillId="4" borderId="0" xfId="3" applyNumberFormat="1" applyFont="1" applyAlignment="1">
      <alignment horizontal="right" vertical="center"/>
    </xf>
    <xf numFmtId="164" fontId="5" fillId="4" borderId="0" xfId="3" applyNumberFormat="1" applyFont="1" applyBorder="1" applyAlignment="1">
      <alignment horizontal="right"/>
    </xf>
    <xf numFmtId="164" fontId="5" fillId="4" borderId="0" xfId="3" applyNumberFormat="1" applyFont="1" applyBorder="1" applyAlignment="1">
      <alignment horizontal="right" indent="1"/>
    </xf>
    <xf numFmtId="164" fontId="3" fillId="4" borderId="0" xfId="3" applyNumberFormat="1" applyFont="1" applyBorder="1" applyAlignment="1">
      <alignment horizontal="right" indent="1"/>
    </xf>
    <xf numFmtId="0" fontId="1" fillId="3" borderId="0" xfId="1" applyFont="1" applyAlignment="1" applyProtection="1">
      <alignment horizontal="left" vertical="center" indent="1"/>
    </xf>
    <xf numFmtId="0" fontId="4" fillId="3" borderId="1" xfId="4" applyFont="1" applyAlignment="1">
      <alignment horizontal="right" vertical="center" indent="1"/>
      <protection locked="0"/>
    </xf>
    <xf numFmtId="9" fontId="4" fillId="3" borderId="1" xfId="2" applyFont="1" applyFill="1" applyBorder="1" applyAlignment="1" applyProtection="1">
      <alignment horizontal="right" vertical="center" indent="1"/>
      <protection locked="0"/>
    </xf>
    <xf numFmtId="0" fontId="4" fillId="5" borderId="0" xfId="5" applyFont="1" applyBorder="1" applyAlignment="1">
      <alignment horizontal="right" vertical="center" indent="1"/>
      <protection locked="0"/>
    </xf>
    <xf numFmtId="0" fontId="30" fillId="7" borderId="8" xfId="1" applyFont="1" applyFill="1" applyBorder="1" applyAlignment="1" applyProtection="1">
      <alignment horizontal="center" vertical="center" wrapText="1"/>
    </xf>
    <xf numFmtId="164" fontId="21" fillId="4" borderId="0" xfId="3" applyNumberFormat="1" applyFont="1" applyAlignment="1">
      <alignment horizontal="right" vertical="center" indent="1"/>
    </xf>
    <xf numFmtId="11" fontId="0" fillId="2" borderId="0" xfId="0" applyNumberFormat="1">
      <alignment vertical="center"/>
    </xf>
    <xf numFmtId="0" fontId="0" fillId="2" borderId="0" xfId="0" applyNumberFormat="1">
      <alignment vertical="center"/>
    </xf>
    <xf numFmtId="0" fontId="3" fillId="4" borderId="4" xfId="3" applyFont="1" applyBorder="1">
      <alignment vertical="center"/>
    </xf>
    <xf numFmtId="0" fontId="2" fillId="4" borderId="4" xfId="3" applyFont="1" applyBorder="1">
      <alignment vertical="center"/>
    </xf>
    <xf numFmtId="0" fontId="0" fillId="4" borderId="4" xfId="3" applyFont="1" applyBorder="1">
      <alignment vertical="center"/>
    </xf>
    <xf numFmtId="0" fontId="1" fillId="3" borderId="8" xfId="1" quotePrefix="1" applyFont="1" applyBorder="1" applyAlignment="1" applyProtection="1">
      <alignment horizontal="right" vertical="center"/>
    </xf>
    <xf numFmtId="0" fontId="0" fillId="2" borderId="0" xfId="0" applyAlignment="1">
      <alignment horizontal="left" vertical="center"/>
    </xf>
    <xf numFmtId="0" fontId="22" fillId="4" borderId="0" xfId="3" applyFont="1" applyAlignment="1">
      <alignment horizontal="left" vertical="center"/>
    </xf>
    <xf numFmtId="0" fontId="1" fillId="4" borderId="11" xfId="3" applyFont="1" applyBorder="1">
      <alignment vertical="center"/>
    </xf>
    <xf numFmtId="0" fontId="3" fillId="4" borderId="11" xfId="3" applyFont="1" applyBorder="1">
      <alignment vertical="center"/>
    </xf>
    <xf numFmtId="0" fontId="3" fillId="4" borderId="11" xfId="3" applyFont="1" applyBorder="1" applyAlignment="1">
      <alignment horizontal="right"/>
    </xf>
    <xf numFmtId="0" fontId="3" fillId="4" borderId="12" xfId="3" applyFont="1" applyBorder="1" applyAlignment="1">
      <alignment horizontal="right" indent="1"/>
    </xf>
    <xf numFmtId="0" fontId="33" fillId="4" borderId="4" xfId="3" applyFont="1" applyBorder="1" applyAlignment="1">
      <alignment horizontal="left" vertical="center" indent="1"/>
    </xf>
    <xf numFmtId="0" fontId="2" fillId="4" borderId="13" xfId="3" applyFont="1" applyBorder="1">
      <alignment vertical="center"/>
    </xf>
    <xf numFmtId="0" fontId="0" fillId="4" borderId="11" xfId="3" applyFont="1" applyBorder="1">
      <alignment vertical="center"/>
    </xf>
    <xf numFmtId="0" fontId="0" fillId="4" borderId="12" xfId="3" applyFont="1" applyBorder="1">
      <alignment vertical="center"/>
    </xf>
    <xf numFmtId="0" fontId="2" fillId="4" borderId="12" xfId="3" applyFont="1" applyBorder="1">
      <alignment vertical="center"/>
    </xf>
    <xf numFmtId="9" fontId="3" fillId="4" borderId="0" xfId="3" applyNumberFormat="1" applyFont="1" applyBorder="1">
      <alignment vertical="center"/>
    </xf>
    <xf numFmtId="1" fontId="3" fillId="4" borderId="0" xfId="3" applyNumberFormat="1" applyFont="1" applyBorder="1">
      <alignment vertical="center"/>
    </xf>
    <xf numFmtId="0" fontId="1" fillId="4" borderId="0" xfId="3" applyFont="1" applyBorder="1">
      <alignment vertical="center"/>
    </xf>
    <xf numFmtId="0" fontId="14" fillId="4" borderId="0" xfId="3" applyFont="1" applyBorder="1">
      <alignment vertical="center"/>
    </xf>
    <xf numFmtId="164" fontId="5" fillId="4" borderId="14" xfId="3" applyNumberFormat="1" applyFont="1" applyBorder="1" applyAlignment="1">
      <alignment horizontal="right" vertical="center" indent="1"/>
    </xf>
    <xf numFmtId="0" fontId="4" fillId="4" borderId="15" xfId="3" applyFont="1" applyBorder="1" applyAlignment="1">
      <alignment horizontal="right" vertical="center" indent="1"/>
    </xf>
    <xf numFmtId="0" fontId="2" fillId="4" borderId="15" xfId="3" applyFont="1" applyBorder="1">
      <alignment vertical="center"/>
    </xf>
    <xf numFmtId="0" fontId="5" fillId="4" borderId="15" xfId="3" applyFont="1" applyBorder="1" applyAlignment="1">
      <alignment horizontal="right"/>
    </xf>
    <xf numFmtId="2" fontId="5" fillId="4" borderId="15" xfId="3" applyNumberFormat="1" applyFont="1" applyBorder="1" applyAlignment="1">
      <alignment horizontal="right" vertical="center"/>
    </xf>
    <xf numFmtId="164" fontId="5" fillId="4" borderId="16" xfId="3" applyNumberFormat="1" applyFont="1" applyBorder="1" applyAlignment="1">
      <alignment horizontal="right" vertical="center" indent="1"/>
    </xf>
    <xf numFmtId="0" fontId="4" fillId="4" borderId="17" xfId="3" applyFont="1" applyBorder="1" applyAlignment="1">
      <alignment horizontal="right" vertical="center" indent="1"/>
    </xf>
    <xf numFmtId="0" fontId="2" fillId="4" borderId="17" xfId="3" applyFont="1" applyBorder="1">
      <alignment vertical="center"/>
    </xf>
    <xf numFmtId="0" fontId="5" fillId="4" borderId="17" xfId="3" applyFont="1" applyBorder="1" applyAlignment="1">
      <alignment horizontal="right"/>
    </xf>
    <xf numFmtId="2" fontId="5" fillId="4" borderId="17" xfId="3" applyNumberFormat="1" applyFont="1" applyBorder="1" applyAlignment="1">
      <alignment horizontal="right" vertical="center"/>
    </xf>
    <xf numFmtId="164" fontId="5" fillId="4" borderId="18" xfId="3" applyNumberFormat="1" applyFont="1" applyBorder="1" applyAlignment="1">
      <alignment horizontal="right" vertical="center" indent="1"/>
    </xf>
    <xf numFmtId="0" fontId="22" fillId="4" borderId="15" xfId="3" applyFont="1" applyBorder="1" applyAlignment="1">
      <alignment horizontal="right" vertical="center"/>
    </xf>
    <xf numFmtId="2" fontId="5" fillId="4" borderId="15" xfId="3" applyNumberFormat="1" applyFont="1" applyBorder="1" applyAlignment="1">
      <alignment horizontal="right"/>
    </xf>
    <xf numFmtId="0" fontId="22" fillId="4" borderId="17" xfId="3" applyFont="1" applyBorder="1" applyAlignment="1">
      <alignment horizontal="right" vertical="center"/>
    </xf>
    <xf numFmtId="2" fontId="5" fillId="4" borderId="17" xfId="3" applyNumberFormat="1" applyFont="1" applyBorder="1" applyAlignment="1">
      <alignment horizontal="right"/>
    </xf>
    <xf numFmtId="0" fontId="2" fillId="5" borderId="0" xfId="5" applyFont="1" applyBorder="1" applyAlignment="1">
      <alignment vertical="center"/>
      <protection locked="0"/>
    </xf>
    <xf numFmtId="0" fontId="22" fillId="4" borderId="0" xfId="3" applyFont="1">
      <alignment vertical="center"/>
    </xf>
    <xf numFmtId="0" fontId="22" fillId="4" borderId="11" xfId="3" applyFont="1" applyBorder="1">
      <alignment vertical="center"/>
    </xf>
    <xf numFmtId="9" fontId="4" fillId="5" borderId="0" xfId="5" applyNumberFormat="1" applyFont="1" applyBorder="1" applyAlignment="1">
      <alignment horizontal="right" vertical="center" indent="1"/>
      <protection locked="0"/>
    </xf>
    <xf numFmtId="0" fontId="4" fillId="5" borderId="19" xfId="5" applyFont="1" applyBorder="1" applyAlignment="1">
      <alignment horizontal="right" vertical="center" indent="1"/>
      <protection locked="0"/>
    </xf>
    <xf numFmtId="0" fontId="4" fillId="5" borderId="15" xfId="5" applyFont="1" applyBorder="1" applyAlignment="1">
      <alignment horizontal="right" vertical="center" indent="1"/>
      <protection locked="0"/>
    </xf>
    <xf numFmtId="0" fontId="4" fillId="5" borderId="17" xfId="5" applyFont="1" applyBorder="1" applyAlignment="1">
      <alignment horizontal="right" vertical="center" indent="1"/>
      <protection locked="0"/>
    </xf>
    <xf numFmtId="0" fontId="11" fillId="4" borderId="0" xfId="3" applyFont="1" applyBorder="1">
      <alignment vertical="center"/>
    </xf>
    <xf numFmtId="0" fontId="11" fillId="4" borderId="0" xfId="3" applyFont="1">
      <alignment vertical="center"/>
    </xf>
    <xf numFmtId="166" fontId="3" fillId="4" borderId="11" xfId="3" applyNumberFormat="1" applyFont="1" applyBorder="1">
      <alignment vertical="center"/>
    </xf>
    <xf numFmtId="0" fontId="4" fillId="5" borderId="20" xfId="5" applyFont="1" applyBorder="1" applyAlignment="1">
      <alignment horizontal="right" vertical="center" indent="1"/>
      <protection locked="0"/>
    </xf>
    <xf numFmtId="0" fontId="4" fillId="3" borderId="21" xfId="4" applyFont="1" applyBorder="1" applyAlignment="1">
      <alignment horizontal="right" vertical="center" indent="1"/>
      <protection locked="0"/>
    </xf>
    <xf numFmtId="0" fontId="2" fillId="3" borderId="0" xfId="1" applyFont="1" applyProtection="1">
      <alignment vertical="center"/>
    </xf>
    <xf numFmtId="0" fontId="2" fillId="3" borderId="8" xfId="1" quotePrefix="1" applyFont="1" applyBorder="1" applyAlignment="1" applyProtection="1">
      <alignment horizontal="right" vertical="center"/>
    </xf>
    <xf numFmtId="0" fontId="2" fillId="3" borderId="0" xfId="1" applyFont="1" applyAlignment="1" applyProtection="1">
      <alignment horizontal="left" vertical="center" indent="1"/>
    </xf>
    <xf numFmtId="0" fontId="5" fillId="4" borderId="0" xfId="3" applyFont="1" applyBorder="1" applyAlignment="1">
      <alignment horizontal="right" vertical="center"/>
    </xf>
    <xf numFmtId="0" fontId="14" fillId="3" borderId="22" xfId="4" applyFont="1" applyBorder="1" applyAlignment="1">
      <alignment horizontal="left" vertical="center" wrapText="1"/>
      <protection locked="0"/>
    </xf>
    <xf numFmtId="0" fontId="14" fillId="3" borderId="23" xfId="4" applyBorder="1" applyAlignment="1">
      <alignment horizontal="left" vertical="center" wrapText="1"/>
      <protection locked="0"/>
    </xf>
    <xf numFmtId="0" fontId="21" fillId="4" borderId="0" xfId="3" applyFont="1" applyBorder="1" applyAlignment="1">
      <alignment horizontal="right" wrapText="1"/>
    </xf>
    <xf numFmtId="0" fontId="21" fillId="4" borderId="0" xfId="3" applyFont="1" applyBorder="1" applyAlignment="1">
      <alignment horizontal="right"/>
    </xf>
    <xf numFmtId="0" fontId="3" fillId="4" borderId="0" xfId="3" applyFont="1" applyBorder="1" applyAlignment="1">
      <alignment horizontal="left" vertical="top" wrapText="1"/>
    </xf>
    <xf numFmtId="0" fontId="3" fillId="4" borderId="11" xfId="3" applyFont="1" applyBorder="1" applyAlignment="1">
      <alignment horizontal="left"/>
    </xf>
    <xf numFmtId="0" fontId="21" fillId="4" borderId="0" xfId="3" applyFont="1" applyAlignment="1">
      <alignment horizontal="right" vertical="center" wrapText="1"/>
    </xf>
    <xf numFmtId="0" fontId="21" fillId="4" borderId="0" xfId="3" applyFont="1" applyBorder="1" applyAlignment="1">
      <alignment horizontal="right" vertical="center"/>
    </xf>
    <xf numFmtId="0" fontId="21" fillId="4" borderId="0" xfId="3" applyFont="1" applyBorder="1" applyAlignment="1">
      <alignment horizontal="right" vertical="center" wrapText="1" indent="1"/>
    </xf>
    <xf numFmtId="0" fontId="21" fillId="4" borderId="0" xfId="3" applyFont="1" applyBorder="1" applyAlignment="1">
      <alignment horizontal="right" vertical="center" indent="1"/>
    </xf>
    <xf numFmtId="0" fontId="35" fillId="4" borderId="0" xfId="3" applyFont="1" applyBorder="1" applyAlignment="1">
      <alignment vertical="top" wrapText="1"/>
    </xf>
    <xf numFmtId="0" fontId="35" fillId="2" borderId="0" xfId="0" applyFont="1" applyBorder="1" applyAlignment="1">
      <alignment vertical="top" wrapText="1"/>
    </xf>
    <xf numFmtId="0" fontId="4" fillId="3" borderId="22" xfId="0" applyFont="1" applyFill="1" applyBorder="1" applyAlignment="1">
      <alignment horizontal="left"/>
    </xf>
    <xf numFmtId="0" fontId="4" fillId="3" borderId="24" xfId="0" applyFont="1" applyFill="1" applyBorder="1" applyAlignment="1">
      <alignment horizontal="left"/>
    </xf>
    <xf numFmtId="0" fontId="4" fillId="3" borderId="23" xfId="0" applyFont="1" applyFill="1" applyBorder="1" applyAlignment="1">
      <alignment horizontal="left"/>
    </xf>
  </cellXfs>
  <cellStyles count="6">
    <cellStyle name="Library" xfId="1" xr:uid="{00000000-0005-0000-0000-000000000000}"/>
    <cellStyle name="Normal" xfId="0" builtinId="0"/>
    <cellStyle name="Percent" xfId="2" builtinId="5"/>
    <cellStyle name="print_area_background" xfId="3" xr:uid="{00000000-0005-0000-0000-000003000000}"/>
    <cellStyle name="print_area_input" xfId="4" xr:uid="{00000000-0005-0000-0000-000004000000}"/>
    <cellStyle name="print_area_optional_input" xfId="5" xr:uid="{00000000-0005-0000-0000-000005000000}"/>
  </cellStyles>
  <dxfs count="15">
    <dxf>
      <font>
        <b/>
        <i val="0"/>
        <condense val="0"/>
        <extend val="0"/>
        <color indexed="10"/>
      </font>
    </dxf>
    <dxf>
      <font>
        <b/>
        <i val="0"/>
        <condense val="0"/>
        <extend val="0"/>
        <color indexed="12"/>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ill>
        <patternFill>
          <bgColor indexed="41"/>
        </patternFill>
      </fill>
      <border>
        <left/>
        <right/>
      </border>
    </dxf>
    <dxf>
      <fill>
        <patternFill>
          <bgColor indexed="41"/>
        </patternFill>
      </fill>
      <border>
        <left/>
        <right/>
        <top/>
        <bottom/>
      </border>
    </dxf>
    <dxf>
      <font>
        <b/>
        <i val="0"/>
        <condense val="0"/>
        <extend val="0"/>
        <color indexed="12"/>
      </font>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ill>
        <patternFill>
          <bgColor indexed="9"/>
        </patternFill>
      </fill>
      <border>
        <left style="thin">
          <color indexed="64"/>
        </left>
        <right style="thin">
          <color indexed="64"/>
        </right>
        <top style="thin">
          <color indexed="64"/>
        </top>
        <bottom style="thin">
          <color indexed="64"/>
        </bottom>
      </border>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bgColor indexed="9"/>
        </patternFill>
      </fill>
      <border>
        <left style="thin">
          <color indexed="64"/>
        </left>
        <right style="thin">
          <color indexed="64"/>
        </right>
        <top style="thin">
          <color indexed="64"/>
        </top>
        <bottom style="thin">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4D0C8"/>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63500</xdr:colOff>
      <xdr:row>3</xdr:row>
      <xdr:rowOff>12349</xdr:rowOff>
    </xdr:from>
    <xdr:to>
      <xdr:col>21</xdr:col>
      <xdr:colOff>2728</xdr:colOff>
      <xdr:row>34</xdr:row>
      <xdr:rowOff>150844</xdr:rowOff>
    </xdr:to>
    <xdr:grpSp>
      <xdr:nvGrpSpPr>
        <xdr:cNvPr id="275" name="Group 274">
          <a:extLst>
            <a:ext uri="{FF2B5EF4-FFF2-40B4-BE49-F238E27FC236}">
              <a16:creationId xmlns:a16="http://schemas.microsoft.com/office/drawing/2014/main" id="{E3368440-561A-494D-AA24-291158898D7C}"/>
            </a:ext>
          </a:extLst>
        </xdr:cNvPr>
        <xdr:cNvGrpSpPr/>
      </xdr:nvGrpSpPr>
      <xdr:grpSpPr>
        <a:xfrm>
          <a:off x="63500" y="498124"/>
          <a:ext cx="12321728" cy="5158170"/>
          <a:chOff x="63500" y="498124"/>
          <a:chExt cx="12321728" cy="5158170"/>
        </a:xfrm>
      </xdr:grpSpPr>
      <xdr:sp macro="" textlink="">
        <xdr:nvSpPr>
          <xdr:cNvPr id="234" name="Rectangle 233">
            <a:extLst>
              <a:ext uri="{FF2B5EF4-FFF2-40B4-BE49-F238E27FC236}">
                <a16:creationId xmlns:a16="http://schemas.microsoft.com/office/drawing/2014/main" id="{C44BCB73-9169-4506-93B0-9EEE10AEF709}"/>
              </a:ext>
            </a:extLst>
          </xdr:cNvPr>
          <xdr:cNvSpPr/>
        </xdr:nvSpPr>
        <xdr:spPr bwMode="auto">
          <a:xfrm>
            <a:off x="63500" y="927100"/>
            <a:ext cx="9144000" cy="121920"/>
          </a:xfrm>
          <a:prstGeom prst="rect">
            <a:avLst/>
          </a:prstGeom>
          <a:solidFill>
            <a:srgbClr val="A2B4E1"/>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235" name="Rectangle 234">
            <a:extLst>
              <a:ext uri="{FF2B5EF4-FFF2-40B4-BE49-F238E27FC236}">
                <a16:creationId xmlns:a16="http://schemas.microsoft.com/office/drawing/2014/main" id="{B7C6F0B4-10D1-4A6F-832F-A3C0D6BF5668}"/>
              </a:ext>
            </a:extLst>
          </xdr:cNvPr>
          <xdr:cNvSpPr/>
        </xdr:nvSpPr>
        <xdr:spPr bwMode="auto">
          <a:xfrm>
            <a:off x="63500" y="1049020"/>
            <a:ext cx="9144000" cy="762000"/>
          </a:xfrm>
          <a:prstGeom prst="rect">
            <a:avLst/>
          </a:prstGeom>
          <a:solidFill>
            <a:srgbClr val="C3D2A7"/>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236" name="Rectangle 235">
            <a:extLst>
              <a:ext uri="{FF2B5EF4-FFF2-40B4-BE49-F238E27FC236}">
                <a16:creationId xmlns:a16="http://schemas.microsoft.com/office/drawing/2014/main" id="{AD75964A-83D3-4DD2-89EE-757EBFF77244}"/>
              </a:ext>
            </a:extLst>
          </xdr:cNvPr>
          <xdr:cNvSpPr/>
        </xdr:nvSpPr>
        <xdr:spPr bwMode="auto">
          <a:xfrm>
            <a:off x="63500" y="1811020"/>
            <a:ext cx="9144000" cy="381000"/>
          </a:xfrm>
          <a:prstGeom prst="rect">
            <a:avLst/>
          </a:prstGeom>
          <a:solidFill>
            <a:srgbClr val="FFFF64"/>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sp macro="" textlink="">
        <xdr:nvSpPr>
          <xdr:cNvPr id="237" name="Rectangle 236">
            <a:extLst>
              <a:ext uri="{FF2B5EF4-FFF2-40B4-BE49-F238E27FC236}">
                <a16:creationId xmlns:a16="http://schemas.microsoft.com/office/drawing/2014/main" id="{316E2FA6-D697-4171-9B1A-1309122E9D1B}"/>
              </a:ext>
            </a:extLst>
          </xdr:cNvPr>
          <xdr:cNvSpPr/>
        </xdr:nvSpPr>
        <xdr:spPr bwMode="auto">
          <a:xfrm>
            <a:off x="63500" y="2192020"/>
            <a:ext cx="9144000" cy="3048000"/>
          </a:xfrm>
          <a:prstGeom prst="rect">
            <a:avLst/>
          </a:prstGeom>
          <a:solidFill>
            <a:srgbClr val="95A3E7"/>
          </a:solid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Lst>
        </xdr:spPr>
        <xdr:txBody>
          <a:bodyPr vertOverflow="clip" wrap="square" lIns="18288" tIns="0" rIns="0" bIns="0" rtlCol="0" anchor="ctr" upright="1"/>
          <a:lstStyle/>
          <a:p>
            <a:pPr algn="l"/>
            <a:endParaRPr lang="nb-NO" sz="1100"/>
          </a:p>
        </xdr:txBody>
      </xdr:sp>
      <xdr:cxnSp macro="">
        <xdr:nvCxnSpPr>
          <xdr:cNvPr id="238" name="Straight Connector 237">
            <a:extLst>
              <a:ext uri="{FF2B5EF4-FFF2-40B4-BE49-F238E27FC236}">
                <a16:creationId xmlns:a16="http://schemas.microsoft.com/office/drawing/2014/main" id="{E643DEDE-FAA6-405C-B7E4-295A4F2D74DA}"/>
              </a:ext>
            </a:extLst>
          </xdr:cNvPr>
          <xdr:cNvCxnSpPr/>
        </xdr:nvCxnSpPr>
        <xdr:spPr bwMode="auto">
          <a:xfrm>
            <a:off x="63500" y="92710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239" name="Straight Connector 238">
            <a:extLst>
              <a:ext uri="{FF2B5EF4-FFF2-40B4-BE49-F238E27FC236}">
                <a16:creationId xmlns:a16="http://schemas.microsoft.com/office/drawing/2014/main" id="{D55712C1-FCA1-4E0F-B2F7-E366E4CA7370}"/>
              </a:ext>
            </a:extLst>
          </xdr:cNvPr>
          <xdr:cNvCxnSpPr/>
        </xdr:nvCxnSpPr>
        <xdr:spPr bwMode="auto">
          <a:xfrm>
            <a:off x="63500" y="1049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240" name="Straight Connector 239">
            <a:extLst>
              <a:ext uri="{FF2B5EF4-FFF2-40B4-BE49-F238E27FC236}">
                <a16:creationId xmlns:a16="http://schemas.microsoft.com/office/drawing/2014/main" id="{32B52B0B-F12C-429A-A3A0-3F8B0C1E2006}"/>
              </a:ext>
            </a:extLst>
          </xdr:cNvPr>
          <xdr:cNvCxnSpPr/>
        </xdr:nvCxnSpPr>
        <xdr:spPr bwMode="auto">
          <a:xfrm>
            <a:off x="63500" y="1811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241" name="Straight Connector 240">
            <a:extLst>
              <a:ext uri="{FF2B5EF4-FFF2-40B4-BE49-F238E27FC236}">
                <a16:creationId xmlns:a16="http://schemas.microsoft.com/office/drawing/2014/main" id="{B23BEB01-775B-42C6-879A-E6C2E245E8C6}"/>
              </a:ext>
            </a:extLst>
          </xdr:cNvPr>
          <xdr:cNvCxnSpPr/>
        </xdr:nvCxnSpPr>
        <xdr:spPr bwMode="auto">
          <a:xfrm>
            <a:off x="63500" y="2192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cxnSp macro="">
        <xdr:nvCxnSpPr>
          <xdr:cNvPr id="242" name="Straight Connector 241">
            <a:extLst>
              <a:ext uri="{FF2B5EF4-FFF2-40B4-BE49-F238E27FC236}">
                <a16:creationId xmlns:a16="http://schemas.microsoft.com/office/drawing/2014/main" id="{98BAFF20-3C1B-4CFF-AA59-365049D307F2}"/>
              </a:ext>
            </a:extLst>
          </xdr:cNvPr>
          <xdr:cNvCxnSpPr/>
        </xdr:nvCxnSpPr>
        <xdr:spPr bwMode="auto">
          <a:xfrm>
            <a:off x="63500" y="5240020"/>
            <a:ext cx="9144000" cy="0"/>
          </a:xfrm>
          <a:prstGeom prst="line">
            <a:avLst/>
          </a:prstGeom>
          <a:solidFill>
            <a:srgbClr val="FFFFFF"/>
          </a:solidFill>
          <a:ln w="6350" cap="rnd" cmpd="sng" algn="ctr">
            <a:solidFill>
              <a:srgbClr val="000000"/>
            </a:solidFill>
            <a:prstDash val="dot"/>
            <a:round/>
            <a:headEnd type="none" w="med" len="med"/>
            <a:tailEnd type="none" w="med" len="med"/>
          </a:ln>
          <a:effectLst/>
        </xdr:spPr>
      </xdr:cxnSp>
      <xdr:sp macro="" textlink="">
        <xdr:nvSpPr>
          <xdr:cNvPr id="243" name="Oval 242">
            <a:extLst>
              <a:ext uri="{FF2B5EF4-FFF2-40B4-BE49-F238E27FC236}">
                <a16:creationId xmlns:a16="http://schemas.microsoft.com/office/drawing/2014/main" id="{D51938D3-BF33-4DAB-B5BF-9A778CF76D92}"/>
              </a:ext>
            </a:extLst>
          </xdr:cNvPr>
          <xdr:cNvSpPr/>
        </xdr:nvSpPr>
        <xdr:spPr bwMode="auto">
          <a:xfrm>
            <a:off x="2197100" y="1277620"/>
            <a:ext cx="304800" cy="304800"/>
          </a:xfrm>
          <a:prstGeom prst="ellipse">
            <a:avLst/>
          </a:prstGeom>
          <a:solidFill>
            <a:srgbClr val="AD9B52"/>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244" name="Oval 243">
            <a:extLst>
              <a:ext uri="{FF2B5EF4-FFF2-40B4-BE49-F238E27FC236}">
                <a16:creationId xmlns:a16="http://schemas.microsoft.com/office/drawing/2014/main" id="{6116732E-4123-4E7B-AF6D-810235484417}"/>
              </a:ext>
            </a:extLst>
          </xdr:cNvPr>
          <xdr:cNvSpPr/>
        </xdr:nvSpPr>
        <xdr:spPr bwMode="auto">
          <a:xfrm>
            <a:off x="2227580" y="1308100"/>
            <a:ext cx="243840" cy="243840"/>
          </a:xfrm>
          <a:prstGeom prst="ellipse">
            <a:avLst/>
          </a:prstGeom>
          <a:solidFill>
            <a:srgbClr val="97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245" name="Oval 244">
            <a:extLst>
              <a:ext uri="{FF2B5EF4-FFF2-40B4-BE49-F238E27FC236}">
                <a16:creationId xmlns:a16="http://schemas.microsoft.com/office/drawing/2014/main" id="{F7BB5ABE-3DF4-41FF-82AC-045E5D2304E3}"/>
              </a:ext>
            </a:extLst>
          </xdr:cNvPr>
          <xdr:cNvSpPr/>
        </xdr:nvSpPr>
        <xdr:spPr bwMode="auto">
          <a:xfrm>
            <a:off x="6769100" y="1277620"/>
            <a:ext cx="304800" cy="304800"/>
          </a:xfrm>
          <a:prstGeom prst="ellipse">
            <a:avLst/>
          </a:prstGeom>
          <a:solidFill>
            <a:srgbClr val="AD9B52"/>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sp macro="" textlink="">
        <xdr:nvSpPr>
          <xdr:cNvPr id="246" name="Oval 245">
            <a:extLst>
              <a:ext uri="{FF2B5EF4-FFF2-40B4-BE49-F238E27FC236}">
                <a16:creationId xmlns:a16="http://schemas.microsoft.com/office/drawing/2014/main" id="{2CFC9AEB-4FCE-4FA5-988E-B2E634265D86}"/>
              </a:ext>
            </a:extLst>
          </xdr:cNvPr>
          <xdr:cNvSpPr/>
        </xdr:nvSpPr>
        <xdr:spPr bwMode="auto">
          <a:xfrm>
            <a:off x="6799580" y="1308100"/>
            <a:ext cx="243840" cy="243840"/>
          </a:xfrm>
          <a:prstGeom prst="ellipse">
            <a:avLst/>
          </a:prstGeom>
          <a:solidFill>
            <a:srgbClr val="97FFFF"/>
          </a:solidFill>
          <a:ln w="317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lang="nb-NO" sz="1100"/>
          </a:p>
        </xdr:txBody>
      </xdr:sp>
      <xdr:cxnSp macro="">
        <xdr:nvCxnSpPr>
          <xdr:cNvPr id="247" name="Straight Connector 246">
            <a:extLst>
              <a:ext uri="{FF2B5EF4-FFF2-40B4-BE49-F238E27FC236}">
                <a16:creationId xmlns:a16="http://schemas.microsoft.com/office/drawing/2014/main" id="{8B882745-6E32-4BEE-9498-385F39D86F52}"/>
              </a:ext>
            </a:extLst>
          </xdr:cNvPr>
          <xdr:cNvCxnSpPr/>
        </xdr:nvCxnSpPr>
        <xdr:spPr bwMode="auto">
          <a:xfrm>
            <a:off x="63500" y="863600"/>
            <a:ext cx="0" cy="4439920"/>
          </a:xfrm>
          <a:prstGeom prst="line">
            <a:avLst/>
          </a:prstGeom>
          <a:solidFill>
            <a:srgbClr val="FFFFFF"/>
          </a:solidFill>
          <a:ln w="12700" cap="flat" cmpd="sng" algn="ctr">
            <a:solidFill>
              <a:srgbClr val="000000"/>
            </a:solidFill>
            <a:prstDash val="lgDashDot"/>
            <a:round/>
            <a:headEnd type="none" w="med" len="med"/>
            <a:tailEnd type="none" w="med" len="med"/>
          </a:ln>
          <a:effectLst/>
        </xdr:spPr>
      </xdr:cxnSp>
      <xdr:cxnSp macro="">
        <xdr:nvCxnSpPr>
          <xdr:cNvPr id="248" name="Straight Connector 247">
            <a:extLst>
              <a:ext uri="{FF2B5EF4-FFF2-40B4-BE49-F238E27FC236}">
                <a16:creationId xmlns:a16="http://schemas.microsoft.com/office/drawing/2014/main" id="{F471848C-3DD7-4734-891D-35317DD5A68E}"/>
              </a:ext>
            </a:extLst>
          </xdr:cNvPr>
          <xdr:cNvCxnSpPr/>
        </xdr:nvCxnSpPr>
        <xdr:spPr bwMode="auto">
          <a:xfrm>
            <a:off x="9207500" y="863600"/>
            <a:ext cx="0" cy="4439920"/>
          </a:xfrm>
          <a:prstGeom prst="line">
            <a:avLst/>
          </a:prstGeom>
          <a:solidFill>
            <a:srgbClr val="FFFFFF"/>
          </a:solidFill>
          <a:ln w="12700" cap="flat" cmpd="sng" algn="ctr">
            <a:solidFill>
              <a:srgbClr val="000000"/>
            </a:solidFill>
            <a:prstDash val="lgDashDot"/>
            <a:round/>
            <a:headEnd type="none" w="med" len="med"/>
            <a:tailEnd type="none" w="med" len="med"/>
          </a:ln>
          <a:effectLst/>
        </xdr:spPr>
      </xdr:cxnSp>
      <xdr:cxnSp macro="">
        <xdr:nvCxnSpPr>
          <xdr:cNvPr id="249" name="Straight Connector 248">
            <a:extLst>
              <a:ext uri="{FF2B5EF4-FFF2-40B4-BE49-F238E27FC236}">
                <a16:creationId xmlns:a16="http://schemas.microsoft.com/office/drawing/2014/main" id="{FBA84E2D-AF54-4862-AF3A-A15551F69D8D}"/>
              </a:ext>
            </a:extLst>
          </xdr:cNvPr>
          <xdr:cNvCxnSpPr/>
        </xdr:nvCxnSpPr>
        <xdr:spPr bwMode="auto">
          <a:xfrm>
            <a:off x="9207500" y="927100"/>
            <a:ext cx="3810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250" name="TextBox 249">
            <a:extLst>
              <a:ext uri="{FF2B5EF4-FFF2-40B4-BE49-F238E27FC236}">
                <a16:creationId xmlns:a16="http://schemas.microsoft.com/office/drawing/2014/main" id="{61CB9D40-7000-4E01-BB6C-046DDAE23504}"/>
              </a:ext>
            </a:extLst>
          </xdr:cNvPr>
          <xdr:cNvSpPr txBox="1"/>
        </xdr:nvSpPr>
        <xdr:spPr>
          <a:xfrm>
            <a:off x="9588500" y="815624"/>
            <a:ext cx="2619243"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Air : Internal HEATED FLOOR surface (EN/NordTest)</a:t>
            </a:r>
          </a:p>
        </xdr:txBody>
      </xdr:sp>
      <xdr:cxnSp macro="">
        <xdr:nvCxnSpPr>
          <xdr:cNvPr id="251" name="Straight Connector 250">
            <a:extLst>
              <a:ext uri="{FF2B5EF4-FFF2-40B4-BE49-F238E27FC236}">
                <a16:creationId xmlns:a16="http://schemas.microsoft.com/office/drawing/2014/main" id="{20030294-552F-40FA-9341-C3A859FBCF58}"/>
              </a:ext>
            </a:extLst>
          </xdr:cNvPr>
          <xdr:cNvCxnSpPr/>
        </xdr:nvCxnSpPr>
        <xdr:spPr bwMode="auto">
          <a:xfrm>
            <a:off x="9207500" y="988060"/>
            <a:ext cx="381000" cy="7874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252" name="TextBox 251">
            <a:extLst>
              <a:ext uri="{FF2B5EF4-FFF2-40B4-BE49-F238E27FC236}">
                <a16:creationId xmlns:a16="http://schemas.microsoft.com/office/drawing/2014/main" id="{1F1B1E61-E2C7-45DC-93CB-F0F854C5396D}"/>
              </a:ext>
            </a:extLst>
          </xdr:cNvPr>
          <xdr:cNvSpPr txBox="1"/>
        </xdr:nvSpPr>
        <xdr:spPr>
          <a:xfrm>
            <a:off x="9588500" y="955324"/>
            <a:ext cx="147854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Ceramic: Tiles (fliser) (8mm)</a:t>
            </a:r>
          </a:p>
        </xdr:txBody>
      </xdr:sp>
      <xdr:sp macro="" textlink="">
        <xdr:nvSpPr>
          <xdr:cNvPr id="253" name="TextBox 252">
            <a:extLst>
              <a:ext uri="{FF2B5EF4-FFF2-40B4-BE49-F238E27FC236}">
                <a16:creationId xmlns:a16="http://schemas.microsoft.com/office/drawing/2014/main" id="{5BD0D8B0-6661-4C37-B7AA-32BA2614AF91}"/>
              </a:ext>
            </a:extLst>
          </xdr:cNvPr>
          <xdr:cNvSpPr txBox="1"/>
        </xdr:nvSpPr>
        <xdr:spPr>
          <a:xfrm>
            <a:off x="3713881" y="1318544"/>
            <a:ext cx="1906739"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Screed: Rescon Complan VR (50mm)</a:t>
            </a:r>
          </a:p>
        </xdr:txBody>
      </xdr:sp>
      <xdr:sp macro="" textlink="">
        <xdr:nvSpPr>
          <xdr:cNvPr id="254" name="TextBox 253">
            <a:extLst>
              <a:ext uri="{FF2B5EF4-FFF2-40B4-BE49-F238E27FC236}">
                <a16:creationId xmlns:a16="http://schemas.microsoft.com/office/drawing/2014/main" id="{CD0A877E-7C59-401E-9E10-19301C52526E}"/>
              </a:ext>
            </a:extLst>
          </xdr:cNvPr>
          <xdr:cNvSpPr txBox="1"/>
        </xdr:nvSpPr>
        <xdr:spPr>
          <a:xfrm>
            <a:off x="9588500" y="1318544"/>
            <a:ext cx="1981183"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Tube outer diameter 20mm; c/c 300mm</a:t>
            </a:r>
          </a:p>
        </xdr:txBody>
      </xdr:sp>
      <xdr:sp macro="" textlink="">
        <xdr:nvSpPr>
          <xdr:cNvPr id="255" name="TextBox 254">
            <a:extLst>
              <a:ext uri="{FF2B5EF4-FFF2-40B4-BE49-F238E27FC236}">
                <a16:creationId xmlns:a16="http://schemas.microsoft.com/office/drawing/2014/main" id="{5DFF4338-8F42-47CE-BDCF-28BD0DB1CD28}"/>
              </a:ext>
            </a:extLst>
          </xdr:cNvPr>
          <xdr:cNvSpPr txBox="1"/>
        </xdr:nvSpPr>
        <xdr:spPr>
          <a:xfrm>
            <a:off x="9588500" y="1458244"/>
            <a:ext cx="1273618"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Tube wall : PE-X (2mm)</a:t>
            </a:r>
          </a:p>
        </xdr:txBody>
      </xdr:sp>
      <xdr:sp macro="" textlink="">
        <xdr:nvSpPr>
          <xdr:cNvPr id="256" name="TextBox 255">
            <a:extLst>
              <a:ext uri="{FF2B5EF4-FFF2-40B4-BE49-F238E27FC236}">
                <a16:creationId xmlns:a16="http://schemas.microsoft.com/office/drawing/2014/main" id="{6D3C30E0-5F45-4B9B-807F-25B6B0FE3481}"/>
              </a:ext>
            </a:extLst>
          </xdr:cNvPr>
          <xdr:cNvSpPr txBox="1"/>
        </xdr:nvSpPr>
        <xdr:spPr>
          <a:xfrm>
            <a:off x="9588500" y="1597944"/>
            <a:ext cx="2796728" cy="2102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Contact resistance : Tube embedded directly in filler layer</a:t>
            </a:r>
          </a:p>
        </xdr:txBody>
      </xdr:sp>
      <xdr:cxnSp macro="">
        <xdr:nvCxnSpPr>
          <xdr:cNvPr id="257" name="Straight Connector 256">
            <a:extLst>
              <a:ext uri="{FF2B5EF4-FFF2-40B4-BE49-F238E27FC236}">
                <a16:creationId xmlns:a16="http://schemas.microsoft.com/office/drawing/2014/main" id="{E7EBE7B8-54D9-44C1-9CDD-CB74DA37C3BC}"/>
              </a:ext>
            </a:extLst>
          </xdr:cNvPr>
          <xdr:cNvCxnSpPr/>
        </xdr:nvCxnSpPr>
        <xdr:spPr bwMode="auto">
          <a:xfrm>
            <a:off x="6921500" y="1430020"/>
            <a:ext cx="2628900" cy="13335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258" name="Straight Connector 257">
            <a:extLst>
              <a:ext uri="{FF2B5EF4-FFF2-40B4-BE49-F238E27FC236}">
                <a16:creationId xmlns:a16="http://schemas.microsoft.com/office/drawing/2014/main" id="{D6D270AF-F2EF-4163-BDAE-F4F3AA166EAD}"/>
              </a:ext>
            </a:extLst>
          </xdr:cNvPr>
          <xdr:cNvCxnSpPr/>
        </xdr:nvCxnSpPr>
        <xdr:spPr bwMode="auto">
          <a:xfrm>
            <a:off x="9550400" y="1353820"/>
            <a:ext cx="0" cy="41910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259" name="Straight Connector 258">
            <a:extLst>
              <a:ext uri="{FF2B5EF4-FFF2-40B4-BE49-F238E27FC236}">
                <a16:creationId xmlns:a16="http://schemas.microsoft.com/office/drawing/2014/main" id="{2DFB5251-237E-4CD3-9A45-5E65D04C234D}"/>
              </a:ext>
            </a:extLst>
          </xdr:cNvPr>
          <xdr:cNvCxnSpPr/>
        </xdr:nvCxnSpPr>
        <xdr:spPr bwMode="auto">
          <a:xfrm>
            <a:off x="9550400" y="1353693"/>
            <a:ext cx="381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cxnSp macro="">
        <xdr:nvCxnSpPr>
          <xdr:cNvPr id="260" name="Straight Connector 259">
            <a:extLst>
              <a:ext uri="{FF2B5EF4-FFF2-40B4-BE49-F238E27FC236}">
                <a16:creationId xmlns:a16="http://schemas.microsoft.com/office/drawing/2014/main" id="{69F17DEA-EDF3-4853-823B-3A6DCBB84E9D}"/>
              </a:ext>
            </a:extLst>
          </xdr:cNvPr>
          <xdr:cNvCxnSpPr/>
        </xdr:nvCxnSpPr>
        <xdr:spPr bwMode="auto">
          <a:xfrm>
            <a:off x="9550400" y="1772920"/>
            <a:ext cx="381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261" name="TextBox 260">
            <a:extLst>
              <a:ext uri="{FF2B5EF4-FFF2-40B4-BE49-F238E27FC236}">
                <a16:creationId xmlns:a16="http://schemas.microsoft.com/office/drawing/2014/main" id="{EDAB9223-A13E-42F4-BF26-CC8A21141B26}"/>
              </a:ext>
            </a:extLst>
          </xdr:cNvPr>
          <xdr:cNvSpPr txBox="1"/>
        </xdr:nvSpPr>
        <xdr:spPr>
          <a:xfrm>
            <a:off x="2997947" y="1890044"/>
            <a:ext cx="333860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Insulation: Polystyrene, extruded (XPS) in ground, Styrofoam (25mm)</a:t>
            </a:r>
          </a:p>
        </xdr:txBody>
      </xdr:sp>
      <xdr:sp macro="" textlink="">
        <xdr:nvSpPr>
          <xdr:cNvPr id="262" name="TextBox 261">
            <a:extLst>
              <a:ext uri="{FF2B5EF4-FFF2-40B4-BE49-F238E27FC236}">
                <a16:creationId xmlns:a16="http://schemas.microsoft.com/office/drawing/2014/main" id="{F5D6AEFB-FCB3-40B4-B280-5510A0CEEC16}"/>
              </a:ext>
            </a:extLst>
          </xdr:cNvPr>
          <xdr:cNvSpPr txBox="1"/>
        </xdr:nvSpPr>
        <xdr:spPr>
          <a:xfrm>
            <a:off x="3953401" y="3604544"/>
            <a:ext cx="1427699"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0" i="0" u="none" strike="noStrike" baseline="0">
                <a:solidFill>
                  <a:srgbClr val="000000"/>
                </a:solidFill>
                <a:latin typeface="Arial" panose="020B0604020202020204" pitchFamily="34" charset="0"/>
              </a:rPr>
              <a:t>Concrete: Normal (200mm)</a:t>
            </a:r>
          </a:p>
        </xdr:txBody>
      </xdr:sp>
      <xdr:cxnSp macro="">
        <xdr:nvCxnSpPr>
          <xdr:cNvPr id="263" name="Straight Connector 262">
            <a:extLst>
              <a:ext uri="{FF2B5EF4-FFF2-40B4-BE49-F238E27FC236}">
                <a16:creationId xmlns:a16="http://schemas.microsoft.com/office/drawing/2014/main" id="{7A892537-1D8F-4130-B5AD-BD5150651358}"/>
              </a:ext>
            </a:extLst>
          </xdr:cNvPr>
          <xdr:cNvCxnSpPr/>
        </xdr:nvCxnSpPr>
        <xdr:spPr bwMode="auto">
          <a:xfrm>
            <a:off x="9207500" y="5240020"/>
            <a:ext cx="381000" cy="0"/>
          </a:xfrm>
          <a:prstGeom prst="line">
            <a:avLst/>
          </a:prstGeom>
          <a:solidFill>
            <a:srgbClr val="FFFFFF"/>
          </a:solidFill>
          <a:ln w="9525" cap="flat" cmpd="sng" algn="ctr">
            <a:solidFill>
              <a:srgbClr xmlns:mc="http://schemas.openxmlformats.org/markup-compatibility/2006" xmlns:a14="http://schemas.microsoft.com/office/drawing/2010/main" val="0000FF" mc:Ignorable="a14" a14:legacySpreadsheetColorIndex="12"/>
            </a:solidFill>
            <a:prstDash val="solid"/>
            <a:round/>
            <a:headEnd type="none" w="med" len="med"/>
            <a:tailEnd type="none" w="med" len="med"/>
          </a:ln>
          <a:effectLst/>
        </xdr:spPr>
      </xdr:cxnSp>
      <xdr:sp macro="" textlink="">
        <xdr:nvSpPr>
          <xdr:cNvPr id="264" name="TextBox 263">
            <a:extLst>
              <a:ext uri="{FF2B5EF4-FFF2-40B4-BE49-F238E27FC236}">
                <a16:creationId xmlns:a16="http://schemas.microsoft.com/office/drawing/2014/main" id="{BB2F4BBB-9925-4105-B811-CCE9A5D37773}"/>
              </a:ext>
            </a:extLst>
          </xdr:cNvPr>
          <xdr:cNvSpPr txBox="1"/>
        </xdr:nvSpPr>
        <xdr:spPr>
          <a:xfrm>
            <a:off x="9588500" y="5128544"/>
            <a:ext cx="170155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l"/>
            <a:r>
              <a:rPr lang="nb-NO" sz="800" b="0" i="0" u="none" strike="noStrike" baseline="0">
                <a:solidFill>
                  <a:srgbClr val="000000"/>
                </a:solidFill>
                <a:latin typeface="Arial" panose="020B0604020202020204" pitchFamily="34" charset="0"/>
              </a:rPr>
              <a:t>Air : Internal warm ceiling surface</a:t>
            </a:r>
          </a:p>
        </xdr:txBody>
      </xdr:sp>
      <xdr:sp macro="" textlink="">
        <xdr:nvSpPr>
          <xdr:cNvPr id="265" name="TextBox 264">
            <a:extLst>
              <a:ext uri="{FF2B5EF4-FFF2-40B4-BE49-F238E27FC236}">
                <a16:creationId xmlns:a16="http://schemas.microsoft.com/office/drawing/2014/main" id="{A5BC62EB-BBF5-4372-A244-B4AFA8359009}"/>
              </a:ext>
            </a:extLst>
          </xdr:cNvPr>
          <xdr:cNvSpPr txBox="1"/>
        </xdr:nvSpPr>
        <xdr:spPr>
          <a:xfrm>
            <a:off x="988502" y="131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28.4°C</a:t>
            </a:r>
          </a:p>
        </xdr:txBody>
      </xdr:sp>
      <xdr:sp macro="" textlink="">
        <xdr:nvSpPr>
          <xdr:cNvPr id="266" name="TextBox 265">
            <a:extLst>
              <a:ext uri="{FF2B5EF4-FFF2-40B4-BE49-F238E27FC236}">
                <a16:creationId xmlns:a16="http://schemas.microsoft.com/office/drawing/2014/main" id="{35BE23F0-DE9C-4F9E-B374-9013900596B7}"/>
              </a:ext>
            </a:extLst>
          </xdr:cNvPr>
          <xdr:cNvSpPr txBox="1"/>
        </xdr:nvSpPr>
        <xdr:spPr>
          <a:xfrm>
            <a:off x="2131502" y="131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34.1°C</a:t>
            </a:r>
          </a:p>
        </xdr:txBody>
      </xdr:sp>
      <xdr:sp macro="" textlink="">
        <xdr:nvSpPr>
          <xdr:cNvPr id="267" name="TextBox 266">
            <a:extLst>
              <a:ext uri="{FF2B5EF4-FFF2-40B4-BE49-F238E27FC236}">
                <a16:creationId xmlns:a16="http://schemas.microsoft.com/office/drawing/2014/main" id="{E5B6E063-CD94-451A-989F-01E9EB9361C7}"/>
              </a:ext>
            </a:extLst>
          </xdr:cNvPr>
          <xdr:cNvSpPr txBox="1"/>
        </xdr:nvSpPr>
        <xdr:spPr>
          <a:xfrm>
            <a:off x="4240852" y="498124"/>
            <a:ext cx="852798"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Room: 21.5°C</a:t>
            </a:r>
          </a:p>
        </xdr:txBody>
      </xdr:sp>
      <xdr:sp macro="" textlink="">
        <xdr:nvSpPr>
          <xdr:cNvPr id="268" name="TextBox 267">
            <a:extLst>
              <a:ext uri="{FF2B5EF4-FFF2-40B4-BE49-F238E27FC236}">
                <a16:creationId xmlns:a16="http://schemas.microsoft.com/office/drawing/2014/main" id="{4F704A42-3841-4A6D-8FE4-B2EEA8DFF287}"/>
              </a:ext>
            </a:extLst>
          </xdr:cNvPr>
          <xdr:cNvSpPr txBox="1"/>
        </xdr:nvSpPr>
        <xdr:spPr>
          <a:xfrm>
            <a:off x="4417502" y="54460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21.5°C</a:t>
            </a:r>
          </a:p>
        </xdr:txBody>
      </xdr:sp>
      <xdr:sp macro="" textlink="">
        <xdr:nvSpPr>
          <xdr:cNvPr id="269" name="TextBox 268">
            <a:extLst>
              <a:ext uri="{FF2B5EF4-FFF2-40B4-BE49-F238E27FC236}">
                <a16:creationId xmlns:a16="http://schemas.microsoft.com/office/drawing/2014/main" id="{EBF78A5B-8826-4C84-804D-96D3BE06E93E}"/>
              </a:ext>
            </a:extLst>
          </xdr:cNvPr>
          <xdr:cNvSpPr txBox="1"/>
        </xdr:nvSpPr>
        <xdr:spPr>
          <a:xfrm>
            <a:off x="2131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26.8°C</a:t>
            </a:r>
          </a:p>
        </xdr:txBody>
      </xdr:sp>
      <xdr:sp macro="" textlink="">
        <xdr:nvSpPr>
          <xdr:cNvPr id="270" name="TextBox 269">
            <a:extLst>
              <a:ext uri="{FF2B5EF4-FFF2-40B4-BE49-F238E27FC236}">
                <a16:creationId xmlns:a16="http://schemas.microsoft.com/office/drawing/2014/main" id="{F8E343F7-E856-4EC3-B0D1-1435B46AB9FD}"/>
              </a:ext>
            </a:extLst>
          </xdr:cNvPr>
          <xdr:cNvSpPr txBox="1"/>
        </xdr:nvSpPr>
        <xdr:spPr>
          <a:xfrm>
            <a:off x="4417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26.2°C</a:t>
            </a:r>
          </a:p>
        </xdr:txBody>
      </xdr:sp>
      <xdr:sp macro="" textlink="">
        <xdr:nvSpPr>
          <xdr:cNvPr id="271" name="TextBox 270">
            <a:extLst>
              <a:ext uri="{FF2B5EF4-FFF2-40B4-BE49-F238E27FC236}">
                <a16:creationId xmlns:a16="http://schemas.microsoft.com/office/drawing/2014/main" id="{5F5A5D59-48B6-4B87-964C-155B49563E0F}"/>
              </a:ext>
            </a:extLst>
          </xdr:cNvPr>
          <xdr:cNvSpPr txBox="1"/>
        </xdr:nvSpPr>
        <xdr:spPr>
          <a:xfrm>
            <a:off x="7846502" y="81562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26.4°C</a:t>
            </a:r>
          </a:p>
        </xdr:txBody>
      </xdr:sp>
      <xdr:sp macro="" textlink="">
        <xdr:nvSpPr>
          <xdr:cNvPr id="272" name="TextBox 271">
            <a:extLst>
              <a:ext uri="{FF2B5EF4-FFF2-40B4-BE49-F238E27FC236}">
                <a16:creationId xmlns:a16="http://schemas.microsoft.com/office/drawing/2014/main" id="{047D8DEB-3B27-4C50-8D45-DF2BC9F1EB79}"/>
              </a:ext>
            </a:extLst>
          </xdr:cNvPr>
          <xdr:cNvSpPr txBox="1"/>
        </xdr:nvSpPr>
        <xdr:spPr>
          <a:xfrm>
            <a:off x="7846502" y="1699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28.1°C</a:t>
            </a:r>
          </a:p>
        </xdr:txBody>
      </xdr:sp>
      <xdr:sp macro="" textlink="">
        <xdr:nvSpPr>
          <xdr:cNvPr id="273" name="TextBox 272">
            <a:extLst>
              <a:ext uri="{FF2B5EF4-FFF2-40B4-BE49-F238E27FC236}">
                <a16:creationId xmlns:a16="http://schemas.microsoft.com/office/drawing/2014/main" id="{9125AF1C-2DB7-4E19-B8CE-DDA9EFCA1BE7}"/>
              </a:ext>
            </a:extLst>
          </xdr:cNvPr>
          <xdr:cNvSpPr txBox="1"/>
        </xdr:nvSpPr>
        <xdr:spPr>
          <a:xfrm>
            <a:off x="7846502" y="2080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23.3°C</a:t>
            </a:r>
          </a:p>
        </xdr:txBody>
      </xdr:sp>
      <xdr:sp macro="" textlink="">
        <xdr:nvSpPr>
          <xdr:cNvPr id="274" name="TextBox 273">
            <a:extLst>
              <a:ext uri="{FF2B5EF4-FFF2-40B4-BE49-F238E27FC236}">
                <a16:creationId xmlns:a16="http://schemas.microsoft.com/office/drawing/2014/main" id="{AC2693E2-A8CD-40E8-BE18-81914E6EB116}"/>
              </a:ext>
            </a:extLst>
          </xdr:cNvPr>
          <xdr:cNvSpPr txBox="1"/>
        </xdr:nvSpPr>
        <xdr:spPr>
          <a:xfrm>
            <a:off x="7846502" y="5128544"/>
            <a:ext cx="499496" cy="210250"/>
          </a:xfrm>
          <a:prstGeom prst="rect">
            <a:avLst/>
          </a:prstGeom>
          <a:solidFill>
            <a:srgbClr xmlns:mc="http://schemas.openxmlformats.org/markup-compatibility/2006" xmlns:a14="http://schemas.microsoft.com/office/drawing/2010/main" val="FFFFFF" mc:Ignorable="a14" a14:legacySpreadsheetColorIndex="9">
              <a:alpha val="6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pPr algn="ctr"/>
            <a:r>
              <a:rPr lang="nb-NO" sz="800" b="1" i="0" u="none" strike="noStrike" baseline="0">
                <a:solidFill>
                  <a:srgbClr val="000000"/>
                </a:solidFill>
                <a:latin typeface="Arial" panose="020B0604020202020204" pitchFamily="34" charset="0"/>
              </a:rPr>
              <a:t>22.5°C</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hyperlink" Target="http://www.epcserver.com/" TargetMode="External"/><Relationship Id="rId7" Type="http://schemas.openxmlformats.org/officeDocument/2006/relationships/comments" Target="../comments3.xml"/><Relationship Id="rId2" Type="http://schemas.openxmlformats.org/officeDocument/2006/relationships/hyperlink" Target="http://www.epcserver.com/" TargetMode="External"/><Relationship Id="rId1" Type="http://schemas.openxmlformats.org/officeDocument/2006/relationships/hyperlink" Target="http://www.epcserver.com/"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www.epcserver.com/"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indexed="48"/>
    <pageSetUpPr fitToPage="1"/>
  </sheetPr>
  <dimension ref="A1:L58"/>
  <sheetViews>
    <sheetView showRowColHeaders="0" tabSelected="1" workbookViewId="0">
      <selection activeCell="C8" sqref="C8"/>
    </sheetView>
  </sheetViews>
  <sheetFormatPr defaultColWidth="11.42578125" defaultRowHeight="12.75" x14ac:dyDescent="0.2"/>
  <cols>
    <col min="1" max="1" width="16.42578125" customWidth="1"/>
    <col min="2" max="2" width="30.7109375" customWidth="1"/>
    <col min="3" max="3" width="13.85546875" bestFit="1" customWidth="1"/>
    <col min="4" max="4" width="5.42578125" customWidth="1"/>
    <col min="5" max="6" width="8.7109375" customWidth="1"/>
    <col min="7" max="7" width="10.5703125" style="46" customWidth="1"/>
    <col min="8" max="8" width="5.7109375" style="42" customWidth="1"/>
    <col min="9" max="9" width="36.5703125" customWidth="1"/>
    <col min="10" max="10" width="7.7109375" customWidth="1"/>
    <col min="11" max="11" width="9.140625" customWidth="1"/>
    <col min="12" max="12" width="6.5703125" customWidth="1"/>
  </cols>
  <sheetData>
    <row r="1" spans="1:12" ht="20.25" x14ac:dyDescent="0.3">
      <c r="A1" s="54" t="s">
        <v>0</v>
      </c>
      <c r="B1" s="14"/>
      <c r="C1" s="10"/>
      <c r="D1" s="12"/>
      <c r="E1" s="12"/>
      <c r="F1" s="12"/>
      <c r="G1" s="43"/>
      <c r="H1" s="55" t="s">
        <v>1</v>
      </c>
      <c r="I1" s="18"/>
      <c r="J1" s="18"/>
      <c r="K1" s="18"/>
      <c r="L1" s="25"/>
    </row>
    <row r="2" spans="1:12" x14ac:dyDescent="0.2">
      <c r="A2" s="14" t="s">
        <v>62</v>
      </c>
      <c r="B2" s="125" t="s">
        <v>199</v>
      </c>
      <c r="C2" s="126"/>
      <c r="D2" s="15"/>
      <c r="E2" s="15"/>
      <c r="F2" s="15"/>
      <c r="G2" s="44"/>
      <c r="H2" s="85" t="s">
        <v>60</v>
      </c>
      <c r="I2" s="18"/>
      <c r="J2" s="16"/>
      <c r="K2" s="16"/>
      <c r="L2" s="25"/>
    </row>
    <row r="3" spans="1:12" x14ac:dyDescent="0.2">
      <c r="A3" s="14" t="s">
        <v>63</v>
      </c>
      <c r="B3" s="10" t="s">
        <v>65</v>
      </c>
      <c r="C3" s="23" t="s">
        <v>193</v>
      </c>
      <c r="D3" s="56" t="str">
        <f>IF(inp_systemType="Hydronic"," (water-borne heating/cooling in tubes)"," (i.e. heating in cables or mats)")</f>
        <v xml:space="preserve"> (water-borne heating/cooling in tubes)</v>
      </c>
      <c r="E3" s="57"/>
      <c r="F3" s="15"/>
      <c r="G3" s="44"/>
      <c r="H3" s="76"/>
      <c r="I3" s="135" t="s">
        <v>201</v>
      </c>
      <c r="J3" s="136"/>
      <c r="K3" s="136"/>
      <c r="L3" s="25"/>
    </row>
    <row r="4" spans="1:12" x14ac:dyDescent="0.2">
      <c r="A4" s="14"/>
      <c r="B4" s="10" t="s">
        <v>64</v>
      </c>
      <c r="C4" s="23" t="s">
        <v>66</v>
      </c>
      <c r="D4" s="117" t="str">
        <f>IF(inp_surfaceType="","◄ Please choose","")</f>
        <v/>
      </c>
      <c r="E4" s="15"/>
      <c r="F4" s="15"/>
      <c r="G4" s="15"/>
      <c r="H4" s="77"/>
      <c r="I4" s="136"/>
      <c r="J4" s="136"/>
      <c r="K4" s="136"/>
      <c r="L4" s="25"/>
    </row>
    <row r="5" spans="1:12" x14ac:dyDescent="0.2">
      <c r="A5" s="14"/>
      <c r="B5" s="10" t="str">
        <f>inp_surfaceType &amp; " area covered by one " &amp; LOWER(inp_conduitType)</f>
        <v>Floor area covered by one tube</v>
      </c>
      <c r="C5" s="68">
        <v>6.6</v>
      </c>
      <c r="D5" s="15" t="str">
        <f>IF(OR(inp_Tin_units="W",inp_systemType="Hydronic"),IF(inp_area="","◄ Please enter m²","m²"),"m²")</f>
        <v>m²</v>
      </c>
      <c r="E5" s="15"/>
      <c r="F5" s="15"/>
      <c r="G5" s="15"/>
      <c r="H5" s="77"/>
      <c r="I5" s="136"/>
      <c r="J5" s="136"/>
      <c r="K5" s="136"/>
      <c r="L5" s="25"/>
    </row>
    <row r="6" spans="1:12" x14ac:dyDescent="0.2">
      <c r="A6" s="14"/>
      <c r="B6" s="10" t="str">
        <f>IF(inp_systemType="Hydronic","Area covered by conducting layer","Fraction of floor covered by " &amp; LOWER(inp_conduitType))</f>
        <v>Area covered by conducting layer</v>
      </c>
      <c r="C6" s="69">
        <f>190/200</f>
        <v>0.95</v>
      </c>
      <c r="D6" s="15"/>
      <c r="E6" s="15"/>
      <c r="F6" s="15"/>
      <c r="G6" s="15"/>
      <c r="H6" s="47" t="s">
        <v>61</v>
      </c>
      <c r="I6" s="16"/>
      <c r="J6" s="16"/>
      <c r="K6" s="16"/>
      <c r="L6" s="25"/>
    </row>
    <row r="7" spans="1:12" x14ac:dyDescent="0.2">
      <c r="A7" s="15"/>
      <c r="B7" s="11" t="str">
        <f>IF(inp_systemType="Hydronic","Water inlet temperature",inp_conduitType &amp; " power or temperature")</f>
        <v>Water inlet temperature</v>
      </c>
      <c r="C7" s="68">
        <v>35</v>
      </c>
      <c r="D7" s="109" t="s">
        <v>4</v>
      </c>
      <c r="E7" s="110" t="str">
        <f>IF(inp_systemType="Electric",IF(inp_Tin_units="W/m²"," (heat output per unit floor area)",IF(inp_Tin_units="W/m"," (heat per unit cable length)",IF(inp_Tin_units="W"," (over an area of "&amp;inp_area&amp;" m²)",""))),"")</f>
        <v/>
      </c>
      <c r="F7" s="15"/>
      <c r="G7" s="15"/>
      <c r="H7" s="76"/>
      <c r="I7" s="16" t="str">
        <f>IF(E9="","Fin effectiveness  (of "&amp;LOWER(inp_conduitType)&amp;" spacing etc.)","Thin flat mat with uniform electric heat output")</f>
        <v>Fin effectiveness  (of tube spacing etc.)</v>
      </c>
      <c r="J7" s="90">
        <v>0.60019440089644049</v>
      </c>
      <c r="K7" s="16"/>
      <c r="L7" s="25"/>
    </row>
    <row r="8" spans="1:12" ht="13.5" thickBot="1" x14ac:dyDescent="0.25">
      <c r="A8" s="15"/>
      <c r="B8" s="15" t="str">
        <f>IF(inp_systemType="Hydronic","Water flow rate","")</f>
        <v>Water flow rate</v>
      </c>
      <c r="C8" s="119">
        <v>0.05</v>
      </c>
      <c r="D8" s="15" t="str">
        <f>IF(inp_systemType="Hydronic",IF(C8&gt;0,"ℓ/s","◄ Please enter ℓ/s"),"")</f>
        <v>ℓ/s</v>
      </c>
      <c r="E8" s="15"/>
      <c r="F8" s="15"/>
      <c r="G8" s="15"/>
      <c r="H8" s="77"/>
      <c r="I8" s="16" t="str">
        <f>IF(E9="","Total length of "&amp;LOWER(inp_conduitType),"")</f>
        <v>Total length of tube</v>
      </c>
      <c r="J8" s="19">
        <v>21.999999125798578</v>
      </c>
      <c r="K8" s="16" t="str">
        <f>IF(E9="","m","")</f>
        <v>m</v>
      </c>
      <c r="L8" s="25"/>
    </row>
    <row r="9" spans="1:12" ht="13.5" thickTop="1" x14ac:dyDescent="0.2">
      <c r="A9" s="118" t="str">
        <f>IF(inp_systemType="Electric",IF(inp_ccSpacing=0,"Mat","Cable"),"Tube")</f>
        <v>Tube</v>
      </c>
      <c r="B9" s="89" t="str">
        <f>"c/c " &amp; LOWER(inp_conduitType) &amp; " spacing"</f>
        <v>c/c tube spacing</v>
      </c>
      <c r="C9" s="120">
        <v>300</v>
      </c>
      <c r="D9" s="86" t="s">
        <v>3</v>
      </c>
      <c r="E9" s="111" t="str">
        <f>IF(AND(inp_ccSpacing&lt;&gt;"",inp_ccSpacing=0),IF(inp_systemType="Electric"," (i.e. continuous conductive mat)"," ◄ Can't be 0 when hydronic!"),"")</f>
        <v/>
      </c>
      <c r="F9" s="87"/>
      <c r="G9" s="88"/>
      <c r="H9" s="77"/>
      <c r="I9" s="18" t="str">
        <f>IF(E9="","Effective thickness of heat conducting layer","")</f>
        <v>Effective thickness of heat conducting layer</v>
      </c>
      <c r="J9" s="12">
        <v>283</v>
      </c>
      <c r="K9" s="18" t="str">
        <f>IF(E9="","mm","")</f>
        <v>mm</v>
      </c>
      <c r="L9" s="25"/>
    </row>
    <row r="10" spans="1:12" ht="12.75" customHeight="1" x14ac:dyDescent="0.2">
      <c r="A10" s="14" t="s">
        <v>42</v>
      </c>
      <c r="B10" s="10" t="str">
        <f>IF(inp_ccSpacing=0,"","Depth of " &amp; LOWER(inp_conduitType) &amp; " in " &amp; LOWER(inp_conduitType) &amp; " layer")</f>
        <v>Depth of tube in tube layer</v>
      </c>
      <c r="C10" s="112">
        <v>0.5</v>
      </c>
      <c r="D10" s="116" t="str">
        <f>IF(OR(inp_ccSpacing=0,inp_conduitDepth&lt;&gt;""),"","◄ Please enter %")</f>
        <v/>
      </c>
      <c r="E10" s="15"/>
      <c r="F10" s="15"/>
      <c r="G10" s="15"/>
      <c r="H10" s="77"/>
      <c r="I10" s="18" t="str">
        <f>IF(E9="","Effective conductivity of conducting layer","")</f>
        <v>Effective conductivity of conducting layer</v>
      </c>
      <c r="J10" s="17">
        <v>1.3753534555435181</v>
      </c>
      <c r="K10" s="18" t="str">
        <f>IF(E9="","W/mK","")</f>
        <v>W/mK</v>
      </c>
      <c r="L10" s="25"/>
    </row>
    <row r="11" spans="1:12" ht="12.75" customHeight="1" thickBot="1" x14ac:dyDescent="0.25">
      <c r="A11" s="10"/>
      <c r="B11" s="10" t="str">
        <f>IF(inp_ccSpacing=0,"",inp_conduitType &amp; " outer diameter")</f>
        <v>Tube outer diameter</v>
      </c>
      <c r="C11" s="113">
        <v>20</v>
      </c>
      <c r="D11" s="16" t="str">
        <f>IF(inp_ccSpacing=0,"",IF(inp_diameter="","mm?","mm"))</f>
        <v>mm</v>
      </c>
      <c r="E11" s="127" t="s">
        <v>50</v>
      </c>
      <c r="F11" s="131" t="s">
        <v>41</v>
      </c>
      <c r="G11" s="133" t="s">
        <v>37</v>
      </c>
      <c r="H11" s="77"/>
      <c r="I11" s="16" t="str">
        <f>IF(inp_systemType="Hydronic",IF(out_geoDi="","(Tube wall thickness is zero)","Tube internal diameter"),IF(out_geoDi="","","Cable inner core diameter"))</f>
        <v>Tube internal diameter</v>
      </c>
      <c r="J11" s="12">
        <v>16</v>
      </c>
      <c r="K11" s="16" t="str">
        <f>IF(out_geoDi="","","mm")</f>
        <v>mm</v>
      </c>
      <c r="L11" s="25"/>
    </row>
    <row r="12" spans="1:12" ht="14.25" thickTop="1" thickBot="1" x14ac:dyDescent="0.25">
      <c r="A12" s="130"/>
      <c r="B12" s="130"/>
      <c r="C12" s="21" t="str">
        <f>IF(COUNTA(D13:D16)&gt;0,IF(inp_systemType="Electric","▼ Cable sheath","▼ Tube wall"),"")</f>
        <v>▼ Tube wall</v>
      </c>
      <c r="D12" s="15"/>
      <c r="E12" s="128"/>
      <c r="F12" s="132"/>
      <c r="G12" s="134"/>
      <c r="H12" s="77"/>
      <c r="I12" s="18"/>
      <c r="J12" s="18"/>
      <c r="K12" s="18"/>
      <c r="L12" s="25"/>
    </row>
    <row r="13" spans="1:12" x14ac:dyDescent="0.2">
      <c r="A13" s="129" t="str">
        <f>IF(inp_ccSpacing=0,"","● Thermal resistances from " &amp; LOWER(inp_conduitType) &amp; " to conducting layer")</f>
        <v>● Thermal resistances from tube to conducting layer</v>
      </c>
      <c r="B13" s="27" t="s">
        <v>194</v>
      </c>
      <c r="C13" s="114">
        <v>2</v>
      </c>
      <c r="D13" s="96" t="s">
        <v>3</v>
      </c>
      <c r="E13" s="105">
        <v>0.34999999403953552</v>
      </c>
      <c r="F13" s="106">
        <v>32.85052490234375</v>
      </c>
      <c r="G13" s="99">
        <v>3.0440913513302803E-2</v>
      </c>
      <c r="H13" s="47" t="str">
        <f>"● " &amp; IF(AND(inp_systemType="Hydronic",C7&lt;B19),"Cool","Heat") &amp; "ing performance:"</f>
        <v>● Heating performance:</v>
      </c>
      <c r="I13" s="18"/>
      <c r="J13" s="18"/>
      <c r="K13" s="18"/>
      <c r="L13" s="25"/>
    </row>
    <row r="14" spans="1:12" ht="12.75" customHeight="1" x14ac:dyDescent="0.2">
      <c r="A14" s="129"/>
      <c r="B14" s="28" t="s">
        <v>198</v>
      </c>
      <c r="C14" s="70"/>
      <c r="D14" s="16"/>
      <c r="E14" s="62" t="s">
        <v>6</v>
      </c>
      <c r="F14" s="61">
        <v>20.943950653076172</v>
      </c>
      <c r="G14" s="94">
        <v>4.7746483236551285E-2</v>
      </c>
      <c r="H14" s="76"/>
      <c r="I14" s="18" t="str">
        <f>"Total " &amp; LOWER(inp_conduitType) &amp; IF(inp_systemType="Electric"," power",IF(C7&lt;B19," cooling output"," heat output")) &amp;" over " &amp; LOWER(inp_surfaceType)</f>
        <v>Total tube heat output over floor</v>
      </c>
      <c r="J14" s="91">
        <v>357.96342564623944</v>
      </c>
      <c r="K14" s="18" t="s">
        <v>56</v>
      </c>
      <c r="L14" s="25"/>
    </row>
    <row r="15" spans="1:12" x14ac:dyDescent="0.2">
      <c r="A15" s="129"/>
      <c r="B15" s="28"/>
      <c r="C15" s="70"/>
      <c r="D15" s="16"/>
      <c r="E15" s="62"/>
      <c r="F15" s="61"/>
      <c r="G15" s="94"/>
      <c r="H15" s="76"/>
      <c r="I15" s="16" t="str">
        <f>inp_conduitType &amp; IF(inp_systemType="Electric"," power"," output") &amp;" per unit "&amp;IF(C7&lt;B19,"cooled ","heated ") &amp; LOWER(inp_surfaceType) &amp; " area"</f>
        <v>Tube output per unit heated floor area</v>
      </c>
      <c r="J15" s="17">
        <v>54.23688283866251</v>
      </c>
      <c r="K15" s="16" t="s">
        <v>5</v>
      </c>
      <c r="L15" s="25"/>
    </row>
    <row r="16" spans="1:12" ht="13.5" thickBot="1" x14ac:dyDescent="0.25">
      <c r="A16" s="129"/>
      <c r="B16" s="29"/>
      <c r="C16" s="115"/>
      <c r="D16" s="101"/>
      <c r="E16" s="107"/>
      <c r="F16" s="108"/>
      <c r="G16" s="104"/>
      <c r="H16" s="76"/>
      <c r="I16" s="16" t="str">
        <f>"Thermal efficiency  ("&amp;IF(inp_systemType="Electric",IF(inp_surfaceType="Wall","Heat reaching room","Cable heat going "&amp;IF(inp_surfaceType="Floor","up","down")),IF(C7&lt;B19,"Cooling of "&amp;IF(inp_surfaceType="Wall","this room","room "&amp;IF(inp_surfaceType="Floor","above","below")),IF(inp_surfaceType="Wall","Heat reaching room","Tube heat going "&amp;IF(inp_surfaceType="Floor","up","down"))))&amp;")"</f>
        <v>Thermal efficiency  (Tube heat going up)</v>
      </c>
      <c r="J16" s="90">
        <v>0.88781559467315674</v>
      </c>
      <c r="K16" s="16"/>
      <c r="L16" s="25"/>
    </row>
    <row r="17" spans="1:12" ht="13.5" thickBot="1" x14ac:dyDescent="0.25">
      <c r="A17" s="10"/>
      <c r="B17" s="37"/>
      <c r="C17" s="40" t="str">
        <f>IF(COUNT(C13:C16)&gt;1,"Total "&amp; SUM(C13:C16),"")</f>
        <v/>
      </c>
      <c r="D17" s="80" t="str">
        <f>IF(C17="","","mm")</f>
        <v/>
      </c>
      <c r="E17" s="39" t="s">
        <v>36</v>
      </c>
      <c r="F17" s="63">
        <f>IF(G17=0,"-",1/G17)</f>
        <v>12.789785074943888</v>
      </c>
      <c r="G17" s="72">
        <f>SUM(G13:G16)</f>
        <v>7.8187396749854088E-2</v>
      </c>
      <c r="H17" s="76"/>
      <c r="I17" s="16" t="str">
        <f>"Net " &amp; IF(AND(inp_systemType="Hydronic",C7&lt;B19),"cooling effect ","heat output ")&amp; IF(inp_surfaceType="Floor","upwards from floor",IF(inp_surfaceType="Ceiling","downwards from ceiling","from wall to room"))</f>
        <v>Net heat output upwards from floor</v>
      </c>
      <c r="J17" s="19">
        <v>50.68668630149989</v>
      </c>
      <c r="K17" s="16" t="s">
        <v>5</v>
      </c>
      <c r="L17" s="25"/>
    </row>
    <row r="18" spans="1:12" ht="13.5" thickTop="1" x14ac:dyDescent="0.2">
      <c r="A18" s="130" t="str">
        <f>"● " &amp; inp_surfaceType &amp; " construction:"</f>
        <v>● Floor construction:</v>
      </c>
      <c r="B18" s="130"/>
      <c r="C18" s="81"/>
      <c r="D18" s="82"/>
      <c r="E18" s="83"/>
      <c r="F18" s="83"/>
      <c r="G18" s="84"/>
      <c r="H18" s="76"/>
      <c r="I18" s="16" t="str">
        <f>"Net " &amp;IF(AND(inp_systemType="Hydronic",C7&lt;B19),"cooling lost ","heat loss ")&amp; IF(inp_surfaceType="Floor","downwards to room below",IF(inp_surfaceType="Ceiling","upwards to room above","to other side of wall"))</f>
        <v>Net heat loss downwards to room below</v>
      </c>
      <c r="J18" s="19">
        <v>6.4047693181448571</v>
      </c>
      <c r="K18" s="16" t="s">
        <v>5</v>
      </c>
      <c r="L18" s="25"/>
    </row>
    <row r="19" spans="1:12" x14ac:dyDescent="0.2">
      <c r="A19" s="13" t="str">
        <f>IF(inp_surfaceType="Ceiling","Room above ►","Room air ►")</f>
        <v>Room air ►</v>
      </c>
      <c r="B19" s="26">
        <v>21.5</v>
      </c>
      <c r="C19" s="16" t="s">
        <v>4</v>
      </c>
      <c r="D19" s="16"/>
      <c r="E19" s="127" t="s">
        <v>50</v>
      </c>
      <c r="F19" s="131" t="s">
        <v>41</v>
      </c>
      <c r="G19" s="133" t="s">
        <v>37</v>
      </c>
      <c r="H19" s="76"/>
      <c r="I19" s="18"/>
      <c r="J19" s="18"/>
      <c r="K19" s="18"/>
      <c r="L19" s="25"/>
    </row>
    <row r="20" spans="1:12" x14ac:dyDescent="0.2">
      <c r="A20" s="15"/>
      <c r="B20" s="11" t="s">
        <v>32</v>
      </c>
      <c r="C20" s="21" t="str">
        <f>IF(COUNTA(D21:D33)&gt;0,"▼ Thickness","")</f>
        <v>▼ Thickness</v>
      </c>
      <c r="D20" s="18"/>
      <c r="E20" s="128"/>
      <c r="F20" s="132"/>
      <c r="G20" s="134"/>
      <c r="H20" s="47" t="str">
        <f>"● Temperatures on " &amp; LOWER(inp_surfaceType) &amp; " surface:"</f>
        <v>● Temperatures on floor surface:</v>
      </c>
      <c r="I20" s="16"/>
      <c r="J20" s="16"/>
      <c r="K20" s="16"/>
      <c r="L20" s="25"/>
    </row>
    <row r="21" spans="1:12" ht="12.75" customHeight="1" thickBot="1" x14ac:dyDescent="0.25">
      <c r="A21" s="35" t="s">
        <v>33</v>
      </c>
      <c r="B21" s="33" t="s">
        <v>54</v>
      </c>
      <c r="C21" s="95"/>
      <c r="D21" s="96"/>
      <c r="E21" s="97" t="s">
        <v>6</v>
      </c>
      <c r="F21" s="98">
        <v>10.44620418548584</v>
      </c>
      <c r="G21" s="99">
        <v>9.5728553831577301E-2</v>
      </c>
      <c r="H21" s="76"/>
      <c r="I21" s="92" t="str">
        <f>"Mean " &amp; LOWER(inp_surfaceType) &amp; " surface temperature"</f>
        <v>Mean floor surface temperature</v>
      </c>
      <c r="J21" s="17">
        <v>26.352173563401543</v>
      </c>
      <c r="K21" s="16" t="s">
        <v>4</v>
      </c>
      <c r="L21" s="25"/>
    </row>
    <row r="22" spans="1:12" x14ac:dyDescent="0.2">
      <c r="A22" s="22" t="str">
        <f>IF(inp_surfaceType="Wall","Wall","Floor") &amp; " covering ►"</f>
        <v>Floor covering ►</v>
      </c>
      <c r="B22" s="27" t="s">
        <v>87</v>
      </c>
      <c r="C22" s="70">
        <v>8</v>
      </c>
      <c r="D22" s="16" t="s">
        <v>3</v>
      </c>
      <c r="E22" s="36">
        <v>1.5</v>
      </c>
      <c r="F22" s="38">
        <v>187.5</v>
      </c>
      <c r="G22" s="94">
        <v>5.3333332762122154E-3</v>
      </c>
      <c r="H22" s="76"/>
      <c r="I22" s="16" t="str">
        <f>"Max. " &amp; LOWER(inp_surfaceType) &amp; " surface temperature"</f>
        <v>Max. floor surface temperature</v>
      </c>
      <c r="J22" s="17">
        <v>26.754895202714902</v>
      </c>
      <c r="K22" s="16" t="s">
        <v>4</v>
      </c>
      <c r="L22" s="25"/>
    </row>
    <row r="23" spans="1:12" x14ac:dyDescent="0.2">
      <c r="A23" s="22"/>
      <c r="B23" s="28"/>
      <c r="C23" s="70"/>
      <c r="D23" s="16"/>
      <c r="E23" s="20"/>
      <c r="F23" s="38"/>
      <c r="G23" s="94"/>
      <c r="H23" s="76"/>
      <c r="I23" s="16" t="str">
        <f>"Max. ∆T along " &amp; LOWER(inp_surfaceType) &amp; " surface"</f>
        <v>Max. ∆T along floor surface</v>
      </c>
      <c r="J23" s="17">
        <v>0.51259064674377441</v>
      </c>
      <c r="K23" s="16" t="s">
        <v>4</v>
      </c>
      <c r="L23" s="25"/>
    </row>
    <row r="24" spans="1:12" x14ac:dyDescent="0.2">
      <c r="A24" s="22"/>
      <c r="B24" s="28"/>
      <c r="C24" s="70"/>
      <c r="D24" s="16"/>
      <c r="E24" s="60"/>
      <c r="F24" s="38"/>
      <c r="G24" s="94"/>
      <c r="H24" s="76"/>
      <c r="I24" s="16"/>
      <c r="J24" s="16"/>
      <c r="K24" s="16"/>
      <c r="L24" s="25"/>
    </row>
    <row r="25" spans="1:12" x14ac:dyDescent="0.2">
      <c r="A25" s="22"/>
      <c r="B25" s="28"/>
      <c r="C25" s="70"/>
      <c r="D25" s="16"/>
      <c r="E25" s="36"/>
      <c r="F25" s="38"/>
      <c r="G25" s="94"/>
      <c r="H25" s="47" t="str">
        <f>"● Temperatures inside "&amp; LOWER(inp_surfaceType) &amp; " construction:"</f>
        <v>● Temperatures inside floor construction:</v>
      </c>
      <c r="I25" s="18"/>
      <c r="J25" s="18"/>
      <c r="K25" s="18"/>
      <c r="L25" s="25"/>
    </row>
    <row r="26" spans="1:12" x14ac:dyDescent="0.2">
      <c r="A26" s="22"/>
      <c r="B26" s="28"/>
      <c r="C26" s="70"/>
      <c r="D26" s="16"/>
      <c r="E26" s="36"/>
      <c r="F26" s="38"/>
      <c r="G26" s="94"/>
      <c r="H26" s="75"/>
      <c r="I26" s="92" t="s">
        <v>29</v>
      </c>
      <c r="J26" s="19">
        <v>28.363116913780519</v>
      </c>
      <c r="K26" s="16" t="s">
        <v>4</v>
      </c>
      <c r="L26" s="25"/>
    </row>
    <row r="27" spans="1:12" x14ac:dyDescent="0.2">
      <c r="A27" s="59" t="str">
        <f>inp_conduitType &amp; " layer ►"</f>
        <v>Tube layer ►</v>
      </c>
      <c r="B27" s="28" t="s">
        <v>152</v>
      </c>
      <c r="C27" s="70">
        <v>50</v>
      </c>
      <c r="D27" s="16" t="s">
        <v>3</v>
      </c>
      <c r="E27" s="36">
        <v>0.7279999852180481</v>
      </c>
      <c r="F27" s="38">
        <v>14.559999465942383</v>
      </c>
      <c r="G27" s="94">
        <v>6.8681322038173676E-2</v>
      </c>
      <c r="H27" s="76"/>
      <c r="I27" s="16" t="str">
        <f>"Mean " &amp;IF(inp_systemType="Electric","cable","water")&amp;" temperature"</f>
        <v>Mean water temperature</v>
      </c>
      <c r="J27" s="19">
        <v>34.11895751953125</v>
      </c>
      <c r="K27" s="16" t="s">
        <v>4</v>
      </c>
      <c r="L27" s="25"/>
    </row>
    <row r="28" spans="1:12" ht="12.75" customHeight="1" x14ac:dyDescent="0.2">
      <c r="A28" s="22"/>
      <c r="B28" s="28" t="s">
        <v>113</v>
      </c>
      <c r="C28" s="70">
        <v>25</v>
      </c>
      <c r="D28" s="16" t="s">
        <v>3</v>
      </c>
      <c r="E28" s="58">
        <v>3.2999999821186066E-2</v>
      </c>
      <c r="F28" s="38">
        <v>1.3200000524520874</v>
      </c>
      <c r="G28" s="94">
        <v>0.75757575035095215</v>
      </c>
      <c r="H28" s="77"/>
      <c r="I28" s="93"/>
      <c r="J28" s="93"/>
      <c r="K28" s="93"/>
      <c r="L28" s="25"/>
    </row>
    <row r="29" spans="1:12" x14ac:dyDescent="0.2">
      <c r="A29" s="22"/>
      <c r="B29" s="28"/>
      <c r="C29" s="70"/>
      <c r="D29" s="16"/>
      <c r="E29" s="36"/>
      <c r="F29" s="38"/>
      <c r="G29" s="94"/>
      <c r="H29" s="47" t="str">
        <f>IF(inp_systemType="Hydronic","● Water flow:","")</f>
        <v>● Water flow:</v>
      </c>
      <c r="I29" s="18"/>
      <c r="J29" s="18"/>
      <c r="K29" s="18"/>
      <c r="L29" s="25"/>
    </row>
    <row r="30" spans="1:12" x14ac:dyDescent="0.2">
      <c r="A30" s="22"/>
      <c r="B30" s="28" t="s">
        <v>94</v>
      </c>
      <c r="C30" s="70">
        <v>200</v>
      </c>
      <c r="D30" s="16" t="s">
        <v>3</v>
      </c>
      <c r="E30" s="36">
        <v>1.7000000476837158</v>
      </c>
      <c r="F30" s="38">
        <v>8.5000009536743164</v>
      </c>
      <c r="G30" s="94">
        <v>0.11764705181121826</v>
      </c>
      <c r="H30" s="77"/>
      <c r="I30" s="16" t="str">
        <f>IF(inp_systemType="Hydronic","Flow velocity","")</f>
        <v>Flow velocity</v>
      </c>
      <c r="J30" s="17">
        <v>0.24867956175548017</v>
      </c>
      <c r="K30" s="16" t="str">
        <f>IF(inp_systemType="Hydronic","m/s","")</f>
        <v>m/s</v>
      </c>
      <c r="L30" s="25"/>
    </row>
    <row r="31" spans="1:12" x14ac:dyDescent="0.2">
      <c r="A31" s="22"/>
      <c r="B31" s="28"/>
      <c r="C31" s="70"/>
      <c r="D31" s="16"/>
      <c r="E31" s="36"/>
      <c r="F31" s="38"/>
      <c r="G31" s="94"/>
      <c r="H31" s="77"/>
      <c r="I31" s="18" t="str">
        <f>IF(inp_systemType="Hydronic","Reynolds number (Re)","")</f>
        <v>Reynolds number (Re)</v>
      </c>
      <c r="J31" s="91">
        <v>5405.4611715562432</v>
      </c>
      <c r="K31" s="18"/>
      <c r="L31" s="25"/>
    </row>
    <row r="32" spans="1:12" ht="13.5" thickBot="1" x14ac:dyDescent="0.25">
      <c r="A32" s="22" t="str">
        <f>IF(inp_surfaceType="Ceiling","Ceiling covering ►","")</f>
        <v/>
      </c>
      <c r="B32" s="29"/>
      <c r="C32" s="70"/>
      <c r="D32" s="16"/>
      <c r="E32" s="36"/>
      <c r="F32" s="38"/>
      <c r="G32" s="94"/>
      <c r="H32" s="77"/>
      <c r="I32" s="18" t="str">
        <f>IF(inp_systemType="Hydronic","Pressure drop per meter straight tube","")</f>
        <v>Pressure drop per meter straight tube</v>
      </c>
      <c r="J32" s="19">
        <v>70.475125524100335</v>
      </c>
      <c r="K32" s="16" t="str">
        <f>IF(inp_systemType="Hydronic","Pa/m","")</f>
        <v>Pa/m</v>
      </c>
      <c r="L32" s="25"/>
    </row>
    <row r="33" spans="1:12" x14ac:dyDescent="0.2">
      <c r="A33" s="35" t="s">
        <v>33</v>
      </c>
      <c r="B33" s="34" t="s">
        <v>16</v>
      </c>
      <c r="C33" s="100"/>
      <c r="D33" s="101"/>
      <c r="E33" s="102" t="s">
        <v>6</v>
      </c>
      <c r="F33" s="103">
        <v>6.1728396415710449</v>
      </c>
      <c r="G33" s="104">
        <v>0.16200000047683716</v>
      </c>
      <c r="H33" s="76"/>
      <c r="I33" s="18" t="str">
        <f>IF(inp_systemType="Hydronic","Total pressure drop over whole " &amp; LOWER(inp_surfaceType),"")</f>
        <v>Total pressure drop over whole floor</v>
      </c>
      <c r="J33" s="19">
        <v>1.6294379537121597</v>
      </c>
      <c r="K33" s="16" t="str">
        <f>IF(inp_systemType="Hydronic","kPa","")</f>
        <v>kPa</v>
      </c>
      <c r="L33" s="25"/>
    </row>
    <row r="34" spans="1:12" x14ac:dyDescent="0.2">
      <c r="A34" s="22"/>
      <c r="B34" s="10"/>
      <c r="C34" s="10"/>
      <c r="D34" s="16"/>
      <c r="E34" s="39" t="s">
        <v>196</v>
      </c>
      <c r="F34" s="63">
        <f>IF(G34=0,"-",1/G34)</f>
        <v>0.82852374485766123</v>
      </c>
      <c r="G34" s="72">
        <f>SUM(G21:G33)</f>
        <v>1.2069660117849708</v>
      </c>
      <c r="H34" s="77"/>
      <c r="I34" s="18" t="str">
        <f>IF(inp_systemType="Hydronic","Total "&amp;IF(C7&lt;B19,"rise","drop")&amp;" in water temperature","")</f>
        <v>Total drop in water temperature</v>
      </c>
      <c r="J34" s="19">
        <v>1.7232886087425072</v>
      </c>
      <c r="K34" s="16" t="str">
        <f>IF(inp_systemType="Hydronic","°C","")</f>
        <v>°C</v>
      </c>
      <c r="L34" s="25"/>
    </row>
    <row r="35" spans="1:12" ht="12.75" customHeight="1" x14ac:dyDescent="0.2">
      <c r="A35" s="13" t="str">
        <f>IF(inp_surfaceType="Ceiling","Air, room below ►","Other side ►")</f>
        <v>Other side ►</v>
      </c>
      <c r="B35" s="23">
        <f>inp_Tup</f>
        <v>21.5</v>
      </c>
      <c r="C35" s="16" t="s">
        <v>4</v>
      </c>
      <c r="D35" s="20"/>
      <c r="E35" s="124" t="s">
        <v>197</v>
      </c>
      <c r="F35" s="64"/>
      <c r="G35" s="65">
        <f>SUM(G28:G33)+G27*(1-inp_conduitDepth)</f>
        <v>1.0715634636580944</v>
      </c>
      <c r="H35" s="77"/>
      <c r="I35" s="18" t="str">
        <f>IF(inp_systemType="Hydronic","Water outlet temperature","")</f>
        <v>Water outlet temperature</v>
      </c>
      <c r="J35" s="17">
        <v>33.276711391257493</v>
      </c>
      <c r="K35" s="16" t="str">
        <f>IF(inp_systemType="Hydronic","°C","")</f>
        <v>°C</v>
      </c>
      <c r="L35" s="25"/>
    </row>
    <row r="36" spans="1:12" x14ac:dyDescent="0.2">
      <c r="A36" s="10"/>
      <c r="B36" s="11"/>
      <c r="C36" s="11"/>
      <c r="D36" s="12"/>
      <c r="E36" s="12"/>
      <c r="F36" s="12"/>
      <c r="G36" s="66"/>
      <c r="H36" s="75"/>
      <c r="I36" s="18"/>
      <c r="J36" s="18"/>
      <c r="K36" s="18"/>
      <c r="L36" s="25"/>
    </row>
    <row r="37" spans="1:12" x14ac:dyDescent="0.2">
      <c r="A37" s="24"/>
      <c r="B37" s="24"/>
      <c r="C37" s="24"/>
      <c r="D37" s="24"/>
      <c r="E37" s="24"/>
      <c r="F37" s="24"/>
      <c r="G37" s="45"/>
      <c r="H37" s="41"/>
      <c r="I37" s="24"/>
      <c r="J37" s="24"/>
      <c r="K37" s="24"/>
    </row>
    <row r="39" spans="1:12" x14ac:dyDescent="0.2">
      <c r="H39" s="79"/>
    </row>
    <row r="40" spans="1:12" x14ac:dyDescent="0.2">
      <c r="H40" s="79"/>
    </row>
    <row r="41" spans="1:12" x14ac:dyDescent="0.2">
      <c r="H41" s="79"/>
    </row>
    <row r="42" spans="1:12" x14ac:dyDescent="0.2">
      <c r="H42" s="79"/>
    </row>
    <row r="43" spans="1:12" x14ac:dyDescent="0.2">
      <c r="G43" s="79"/>
      <c r="H43" s="79"/>
    </row>
    <row r="44" spans="1:12" x14ac:dyDescent="0.2">
      <c r="G44" s="79"/>
      <c r="H44" s="79"/>
      <c r="I44" s="73"/>
    </row>
    <row r="45" spans="1:12" x14ac:dyDescent="0.2">
      <c r="G45" s="79"/>
      <c r="H45" s="79"/>
      <c r="I45" s="74"/>
    </row>
    <row r="46" spans="1:12" x14ac:dyDescent="0.2">
      <c r="G46" s="79"/>
      <c r="H46" s="79"/>
    </row>
    <row r="47" spans="1:12" x14ac:dyDescent="0.2">
      <c r="G47" s="79"/>
      <c r="H47" s="79"/>
    </row>
    <row r="48" spans="1:12" x14ac:dyDescent="0.2">
      <c r="G48" s="79"/>
      <c r="H48" s="79"/>
    </row>
    <row r="49" spans="7:8" x14ac:dyDescent="0.2">
      <c r="G49" s="79"/>
      <c r="H49" s="79"/>
    </row>
    <row r="50" spans="7:8" x14ac:dyDescent="0.2">
      <c r="G50" s="79"/>
      <c r="H50" s="79"/>
    </row>
    <row r="51" spans="7:8" x14ac:dyDescent="0.2">
      <c r="G51" s="79"/>
      <c r="H51" s="79"/>
    </row>
    <row r="52" spans="7:8" x14ac:dyDescent="0.2">
      <c r="G52" s="79"/>
      <c r="H52" s="79"/>
    </row>
    <row r="53" spans="7:8" x14ac:dyDescent="0.2">
      <c r="G53" s="79"/>
      <c r="H53" s="79"/>
    </row>
    <row r="54" spans="7:8" x14ac:dyDescent="0.2">
      <c r="G54" s="79"/>
      <c r="H54" s="79"/>
    </row>
    <row r="55" spans="7:8" x14ac:dyDescent="0.2">
      <c r="G55" s="79"/>
      <c r="H55" s="79"/>
    </row>
    <row r="56" spans="7:8" x14ac:dyDescent="0.2">
      <c r="G56" s="79"/>
      <c r="H56" s="79"/>
    </row>
    <row r="57" spans="7:8" x14ac:dyDescent="0.2">
      <c r="G57" s="79"/>
      <c r="H57" s="79"/>
    </row>
    <row r="58" spans="7:8" x14ac:dyDescent="0.2">
      <c r="G58" s="79"/>
      <c r="H58" s="79"/>
    </row>
  </sheetData>
  <sheetProtection selectLockedCells="1"/>
  <mergeCells count="11">
    <mergeCell ref="F19:F20"/>
    <mergeCell ref="G19:G20"/>
    <mergeCell ref="I3:K5"/>
    <mergeCell ref="E11:E12"/>
    <mergeCell ref="F11:F12"/>
    <mergeCell ref="G11:G12"/>
    <mergeCell ref="B2:C2"/>
    <mergeCell ref="E19:E20"/>
    <mergeCell ref="A13:A16"/>
    <mergeCell ref="A12:B12"/>
    <mergeCell ref="A18:B18"/>
  </mergeCells>
  <phoneticPr fontId="0" type="noConversion"/>
  <conditionalFormatting sqref="C21:C33 C13:C16">
    <cfRule type="expression" dxfId="14" priority="1" stopIfTrue="1">
      <formula>IF(LEFT(D13,2)="mm",TRUE,FALSE)</formula>
    </cfRule>
  </conditionalFormatting>
  <conditionalFormatting sqref="H33 I30:K30 H29 H3">
    <cfRule type="cellIs" dxfId="13" priority="2" stopIfTrue="1" operator="equal">
      <formula>"&lt; DELETE !!!"</formula>
    </cfRule>
  </conditionalFormatting>
  <conditionalFormatting sqref="E17 D34:E34">
    <cfRule type="cellIs" dxfId="12" priority="3" stopIfTrue="1" operator="equal">
      <formula>"&lt; DELETE mm !"</formula>
    </cfRule>
  </conditionalFormatting>
  <conditionalFormatting sqref="D13:D16 D22:D33 D11">
    <cfRule type="cellIs" dxfId="11" priority="4" stopIfTrue="1" operator="notEqual">
      <formula>"mm"</formula>
    </cfRule>
  </conditionalFormatting>
  <conditionalFormatting sqref="D10">
    <cfRule type="cellIs" dxfId="10" priority="5" stopIfTrue="1" operator="equal">
      <formula>"&lt; Between 0 &amp; 1 !"</formula>
    </cfRule>
  </conditionalFormatting>
  <conditionalFormatting sqref="D8">
    <cfRule type="cellIs" dxfId="9" priority="6" stopIfTrue="1" operator="notEqual">
      <formula>"ℓ/s"</formula>
    </cfRule>
  </conditionalFormatting>
  <conditionalFormatting sqref="D5">
    <cfRule type="cellIs" dxfId="8" priority="7" stopIfTrue="1" operator="notEqual">
      <formula>"m²"</formula>
    </cfRule>
  </conditionalFormatting>
  <conditionalFormatting sqref="C8">
    <cfRule type="expression" dxfId="7" priority="8" stopIfTrue="1">
      <formula>IF(RIGHT($D$8,3)="ℓ/s",TRUE,FALSE)</formula>
    </cfRule>
  </conditionalFormatting>
  <conditionalFormatting sqref="E9">
    <cfRule type="cellIs" dxfId="6" priority="9" stopIfTrue="1" operator="equal">
      <formula>" ◄ Can't be 0 when hydronic!"</formula>
    </cfRule>
  </conditionalFormatting>
  <conditionalFormatting sqref="C10:C11">
    <cfRule type="expression" dxfId="5" priority="10" stopIfTrue="1">
      <formula>IF(inp_ccSpacing=0,FALSE,TRUE)</formula>
    </cfRule>
  </conditionalFormatting>
  <conditionalFormatting sqref="B13:B16">
    <cfRule type="expression" dxfId="4" priority="11" stopIfTrue="1">
      <formula>IF(inp_ccSpacing=0,TRUE,FALSE)</formula>
    </cfRule>
  </conditionalFormatting>
  <conditionalFormatting sqref="B27">
    <cfRule type="expression" dxfId="3" priority="12" stopIfTrue="1">
      <formula>IF(inp_ccSpacing=0,TRUE,FALSE)</formula>
    </cfRule>
  </conditionalFormatting>
  <conditionalFormatting sqref="A27">
    <cfRule type="expression" dxfId="2" priority="13" stopIfTrue="1">
      <formula>IF(AND($B$27="",A27&lt;&gt;"Mat layer ►"),TRUE,FALSE)</formula>
    </cfRule>
  </conditionalFormatting>
  <conditionalFormatting sqref="D7">
    <cfRule type="expression" dxfId="1" priority="14" stopIfTrue="1">
      <formula>IF(inp_systemType="Electric",TRUE,FALSE)</formula>
    </cfRule>
    <cfRule type="expression" dxfId="0" priority="15" stopIfTrue="1">
      <formula>IF(inp_Tin="",TRUE,FALSE)</formula>
    </cfRule>
  </conditionalFormatting>
  <dataValidations count="9">
    <dataValidation type="list" allowBlank="1" showInputMessage="1" showErrorMessage="1" sqref="B21 B33" xr:uid="{00000000-0002-0000-0000-000000000000}">
      <formula1>Surface_ID</formula1>
    </dataValidation>
    <dataValidation type="list" allowBlank="1" showInputMessage="1" showErrorMessage="1" sqref="B22:B32" xr:uid="{00000000-0002-0000-0000-000001000000}">
      <formula1>Material_ID</formula1>
    </dataValidation>
    <dataValidation type="list" allowBlank="1" showInputMessage="1" showErrorMessage="1" sqref="B13:B16" xr:uid="{00000000-0002-0000-0000-000002000000}">
      <formula1>Conduit_ID</formula1>
    </dataValidation>
    <dataValidation type="list" showInputMessage="1" showErrorMessage="1" sqref="C3" xr:uid="{00000000-0002-0000-0000-000003000000}">
      <formula1>"Electric,Hydronic"</formula1>
    </dataValidation>
    <dataValidation type="decimal" showInputMessage="1" showErrorMessage="1" errorTitle="LowExCalc" error="Must be between 0.0 and 1.0" sqref="C10" xr:uid="{00000000-0002-0000-0000-000004000000}">
      <formula1>0</formula1>
      <formula2>1</formula2>
    </dataValidation>
    <dataValidation type="list" showInputMessage="1" showErrorMessage="1" sqref="C4" xr:uid="{00000000-0002-0000-0000-000005000000}">
      <formula1>"Floor,Ceiling,Wall"</formula1>
    </dataValidation>
    <dataValidation type="decimal" showInputMessage="1" showErrorMessage="1" sqref="C6" xr:uid="{00000000-0002-0000-0000-000006000000}">
      <formula1>0.0001</formula1>
      <formula2>1</formula2>
    </dataValidation>
    <dataValidation type="list" allowBlank="1" showInputMessage="1" showErrorMessage="1" sqref="D7" xr:uid="{00000000-0002-0000-0000-000007000000}">
      <formula1>"°C,W/m²,W/m,W"</formula1>
    </dataValidation>
    <dataValidation type="decimal" operator="greaterThan" showInputMessage="1" showErrorMessage="1" sqref="C11" xr:uid="{00000000-0002-0000-0000-000008000000}">
      <formula1>0</formula1>
    </dataValidation>
  </dataValidations>
  <printOptions horizontalCentered="1" verticalCentered="1"/>
  <pageMargins left="0.74803149606299213" right="0.74803149606299213" top="0.98425196850393704" bottom="0.98425196850393704" header="0.51181102362204722" footer="0.51181102362204722"/>
  <pageSetup paperSize="9" scale="85" orientation="landscape" blackAndWhite="1" horizontalDpi="1200" verticalDpi="1200" r:id="rId1"/>
  <headerFooter alignWithMargins="0">
    <oddHeader>&amp;C&amp;16Electric/hydronic - floor/wall/ceiling - heating/cooling - calculation</oddHeader>
    <oddFooter>&amp;L&amp;8(Calculation in accordance with EN 15377-1, EN 15377-2, Nordtest VVS 127, CEN CR 1752, with improvements.  Developed by SINTEF Building &amp; Infrastructure: www.byggforsk.no)&amp;R&amp;8&amp;D</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indexed="48"/>
    <pageSetUpPr fitToPage="1"/>
  </sheetPr>
  <dimension ref="A1:J3"/>
  <sheetViews>
    <sheetView showRowColHeaders="0" workbookViewId="0">
      <selection activeCell="E3" sqref="E3:G3"/>
    </sheetView>
  </sheetViews>
  <sheetFormatPr defaultRowHeight="12.75" x14ac:dyDescent="0.2"/>
  <cols>
    <col min="1" max="1" width="2.85546875" style="2" bestFit="1" customWidth="1"/>
    <col min="2" max="16384" width="9.140625" style="1"/>
  </cols>
  <sheetData>
    <row r="1" spans="1:10" s="5" customFormat="1" x14ac:dyDescent="0.2">
      <c r="A1" s="3" t="s">
        <v>30</v>
      </c>
      <c r="B1" s="4" t="s">
        <v>35</v>
      </c>
    </row>
    <row r="2" spans="1:10" s="5" customFormat="1" x14ac:dyDescent="0.2">
      <c r="A2" s="3"/>
      <c r="B2" s="5" t="s">
        <v>34</v>
      </c>
    </row>
    <row r="3" spans="1:10" s="8" customFormat="1" x14ac:dyDescent="0.2">
      <c r="A3" s="6" t="s">
        <v>30</v>
      </c>
      <c r="B3" s="7" t="s">
        <v>31</v>
      </c>
      <c r="E3" s="137" t="s">
        <v>200</v>
      </c>
      <c r="F3" s="138"/>
      <c r="G3" s="139"/>
      <c r="J3" s="9"/>
    </row>
  </sheetData>
  <mergeCells count="1">
    <mergeCell ref="E3:G3"/>
  </mergeCells>
  <phoneticPr fontId="0" type="noConversion"/>
  <dataValidations count="1">
    <dataValidation type="list" allowBlank="1" showInputMessage="1" showErrorMessage="1" sqref="E3:G3" xr:uid="{00000000-0002-0000-0100-000000000000}">
      <formula1>"none,materials,temperatures,both,(white background)  materials,(white background)  temperatures,(white background)  both"</formula1>
    </dataValidation>
  </dataValidations>
  <printOptions horizontalCentered="1" verticalCentered="1"/>
  <pageMargins left="0.78740157480314965" right="0.78740157480314965" top="0.59055118110236227" bottom="0.59055118110236227" header="0.51181102362204722" footer="0.51181102362204722"/>
  <pageSetup paperSize="9" orientation="landscape" horizontalDpi="1200" verticalDpi="1200" r:id="rId1"/>
  <headerFooter alignWithMargins="0">
    <oddHeader>&amp;C&amp;16Cross section of construction</oddHeader>
    <oddFooter>&amp;L&amp;8(Calculation in accordance with EN 15377-1, EN 15377-2, Nordtest VVS 127, CEN CR 1752, with improvements.  Developed by SINTEF Building &amp; Infrastructure: www.byggforsk.no)&amp;R&amp;8&amp;D</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indexed="13"/>
  </sheetPr>
  <dimension ref="A1:E120"/>
  <sheetViews>
    <sheetView workbookViewId="0">
      <pane ySplit="1" topLeftCell="A2" activePane="bottomLeft" state="frozen"/>
      <selection pane="bottomLeft"/>
    </sheetView>
  </sheetViews>
  <sheetFormatPr defaultRowHeight="12.75" x14ac:dyDescent="0.2"/>
  <cols>
    <col min="1" max="1" width="49.85546875" style="30" bestFit="1" customWidth="1"/>
    <col min="2" max="4" width="10.7109375" style="50" customWidth="1"/>
    <col min="5" max="5" width="10.7109375" style="49" customWidth="1"/>
    <col min="6" max="16384" width="9.140625" style="30"/>
  </cols>
  <sheetData>
    <row r="1" spans="1:5" s="31" customFormat="1" ht="25.5" x14ac:dyDescent="0.2">
      <c r="A1" s="31" t="s">
        <v>2</v>
      </c>
      <c r="B1" s="52" t="s">
        <v>48</v>
      </c>
      <c r="C1" s="52" t="s">
        <v>49</v>
      </c>
      <c r="D1" s="52" t="s">
        <v>40</v>
      </c>
      <c r="E1" s="48" t="s">
        <v>38</v>
      </c>
    </row>
    <row r="2" spans="1:5" x14ac:dyDescent="0.2"/>
    <row r="3" spans="1:5" x14ac:dyDescent="0.2">
      <c r="A3" s="30" t="s">
        <v>12</v>
      </c>
      <c r="C3" s="50">
        <v>1.423</v>
      </c>
      <c r="D3" s="50">
        <v>1.2</v>
      </c>
    </row>
    <row r="4" spans="1:5" x14ac:dyDescent="0.2">
      <c r="A4" s="30" t="s">
        <v>21</v>
      </c>
      <c r="C4" s="50">
        <v>0.17399999999999999</v>
      </c>
      <c r="D4" s="50">
        <v>1.2</v>
      </c>
    </row>
    <row r="5" spans="1:5" x14ac:dyDescent="0.2">
      <c r="A5" s="30" t="s">
        <v>10</v>
      </c>
      <c r="C5" s="50">
        <v>0.35699999999999998</v>
      </c>
      <c r="D5" s="50">
        <v>1.2</v>
      </c>
    </row>
    <row r="6" spans="1:5" x14ac:dyDescent="0.2">
      <c r="A6" s="30" t="s">
        <v>19</v>
      </c>
      <c r="C6" s="50">
        <v>0.123</v>
      </c>
      <c r="D6" s="50">
        <v>1.2</v>
      </c>
    </row>
    <row r="7" spans="1:5" x14ac:dyDescent="0.2">
      <c r="A7" s="30" t="s">
        <v>11</v>
      </c>
      <c r="C7" s="50">
        <v>0.25</v>
      </c>
      <c r="D7" s="50">
        <v>1.2</v>
      </c>
    </row>
    <row r="8" spans="1:5" x14ac:dyDescent="0.2">
      <c r="A8" s="30" t="s">
        <v>18</v>
      </c>
      <c r="C8" s="50">
        <v>0.11</v>
      </c>
      <c r="D8" s="50">
        <v>1.2</v>
      </c>
    </row>
    <row r="9" spans="1:5" x14ac:dyDescent="0.2">
      <c r="A9" s="30" t="s">
        <v>9</v>
      </c>
      <c r="C9" s="50">
        <v>0.89100000000000001</v>
      </c>
      <c r="D9" s="50">
        <v>1.2</v>
      </c>
    </row>
    <row r="10" spans="1:5" x14ac:dyDescent="0.2">
      <c r="A10" s="30" t="s">
        <v>20</v>
      </c>
      <c r="C10" s="50">
        <v>0.158</v>
      </c>
      <c r="D10" s="50">
        <v>1.2</v>
      </c>
    </row>
    <row r="11" spans="1:5" x14ac:dyDescent="0.2">
      <c r="A11" s="30" t="s">
        <v>68</v>
      </c>
      <c r="B11" s="50">
        <v>7.0000000000000007E-2</v>
      </c>
    </row>
    <row r="12" spans="1:5" x14ac:dyDescent="0.2">
      <c r="A12" s="30" t="s">
        <v>69</v>
      </c>
      <c r="B12" s="50">
        <v>0.21</v>
      </c>
    </row>
    <row r="13" spans="1:5" x14ac:dyDescent="0.2">
      <c r="A13" s="30" t="s">
        <v>70</v>
      </c>
      <c r="B13" s="50">
        <v>7.0500000000000007E-2</v>
      </c>
    </row>
    <row r="14" spans="1:5" x14ac:dyDescent="0.2">
      <c r="A14" s="30" t="s">
        <v>71</v>
      </c>
      <c r="B14" s="50">
        <v>0.217</v>
      </c>
      <c r="E14" s="49" t="s">
        <v>72</v>
      </c>
    </row>
    <row r="15" spans="1:5" x14ac:dyDescent="0.2">
      <c r="A15" s="30" t="s">
        <v>73</v>
      </c>
      <c r="B15" s="50">
        <v>0.21667</v>
      </c>
    </row>
    <row r="16" spans="1:5" x14ac:dyDescent="0.2">
      <c r="A16" s="30" t="s">
        <v>74</v>
      </c>
      <c r="B16" s="50">
        <v>0.16</v>
      </c>
      <c r="D16" s="50">
        <v>950</v>
      </c>
    </row>
    <row r="17" spans="1:5" x14ac:dyDescent="0.2">
      <c r="A17" s="30" t="s">
        <v>75</v>
      </c>
      <c r="B17" s="50">
        <v>5.2999999999999999E-2</v>
      </c>
      <c r="D17" s="50">
        <v>265</v>
      </c>
    </row>
    <row r="18" spans="1:5" x14ac:dyDescent="0.2">
      <c r="A18" s="30" t="s">
        <v>76</v>
      </c>
      <c r="B18" s="50">
        <v>0.05</v>
      </c>
    </row>
    <row r="19" spans="1:5" x14ac:dyDescent="0.2">
      <c r="A19" s="30" t="s">
        <v>77</v>
      </c>
      <c r="B19" s="50">
        <v>7.4999999999999997E-2</v>
      </c>
      <c r="D19" s="50">
        <v>250</v>
      </c>
    </row>
    <row r="20" spans="1:5" x14ac:dyDescent="0.2">
      <c r="A20" s="30" t="s">
        <v>78</v>
      </c>
      <c r="B20" s="50">
        <v>0.7</v>
      </c>
      <c r="D20" s="50" t="s">
        <v>7</v>
      </c>
    </row>
    <row r="21" spans="1:5" x14ac:dyDescent="0.2">
      <c r="A21" s="30" t="s">
        <v>79</v>
      </c>
      <c r="B21" s="50">
        <v>1</v>
      </c>
      <c r="D21" s="50">
        <v>1790</v>
      </c>
    </row>
    <row r="22" spans="1:5" x14ac:dyDescent="0.2">
      <c r="A22" s="30" t="s">
        <v>80</v>
      </c>
      <c r="B22" s="50">
        <v>1.05</v>
      </c>
      <c r="D22" s="50">
        <v>2500</v>
      </c>
    </row>
    <row r="23" spans="1:5" x14ac:dyDescent="0.2">
      <c r="A23" s="53" t="s">
        <v>81</v>
      </c>
      <c r="B23" s="50">
        <v>0.215</v>
      </c>
      <c r="E23" s="67" t="s">
        <v>82</v>
      </c>
    </row>
    <row r="24" spans="1:5" x14ac:dyDescent="0.2">
      <c r="A24" s="30" t="s">
        <v>83</v>
      </c>
      <c r="B24" s="50">
        <v>0.22600000000000001</v>
      </c>
      <c r="E24" s="49" t="s">
        <v>82</v>
      </c>
    </row>
    <row r="25" spans="1:5" x14ac:dyDescent="0.2">
      <c r="A25" s="30" t="s">
        <v>84</v>
      </c>
      <c r="B25" s="50">
        <v>0.23799999999999999</v>
      </c>
      <c r="D25" s="50">
        <v>0.98976960825085247</v>
      </c>
      <c r="E25" s="49" t="s">
        <v>82</v>
      </c>
    </row>
    <row r="26" spans="1:5" x14ac:dyDescent="0.2">
      <c r="A26" s="30" t="s">
        <v>85</v>
      </c>
      <c r="B26" s="50">
        <v>1.5</v>
      </c>
      <c r="D26" s="50">
        <v>2500</v>
      </c>
    </row>
    <row r="27" spans="1:5" x14ac:dyDescent="0.2">
      <c r="A27" s="30" t="s">
        <v>86</v>
      </c>
      <c r="B27" s="50">
        <v>0.67500000000000004</v>
      </c>
      <c r="E27" s="49" t="s">
        <v>72</v>
      </c>
    </row>
    <row r="28" spans="1:5" x14ac:dyDescent="0.2">
      <c r="A28" s="30" t="s">
        <v>87</v>
      </c>
      <c r="B28" s="50">
        <v>1.5</v>
      </c>
      <c r="D28" s="50">
        <v>2000</v>
      </c>
    </row>
    <row r="29" spans="1:5" x14ac:dyDescent="0.2">
      <c r="A29" s="30" t="s">
        <v>88</v>
      </c>
      <c r="B29" s="50">
        <v>1.2</v>
      </c>
    </row>
    <row r="30" spans="1:5" x14ac:dyDescent="0.2">
      <c r="A30" s="30" t="s">
        <v>89</v>
      </c>
      <c r="B30" s="50">
        <v>2</v>
      </c>
      <c r="D30" s="50">
        <v>2400</v>
      </c>
      <c r="E30" s="49" t="s">
        <v>72</v>
      </c>
    </row>
    <row r="31" spans="1:5" x14ac:dyDescent="0.2">
      <c r="A31" s="30" t="s">
        <v>90</v>
      </c>
      <c r="B31" s="50">
        <v>2.5</v>
      </c>
      <c r="D31" s="50">
        <v>2400</v>
      </c>
      <c r="E31" s="49" t="s">
        <v>72</v>
      </c>
    </row>
    <row r="32" spans="1:5" x14ac:dyDescent="0.2">
      <c r="A32" s="30" t="s">
        <v>91</v>
      </c>
      <c r="B32" s="50">
        <v>2.16</v>
      </c>
      <c r="D32" s="50">
        <v>2400</v>
      </c>
    </row>
    <row r="33" spans="1:5" x14ac:dyDescent="0.2">
      <c r="A33" s="30" t="s">
        <v>92</v>
      </c>
      <c r="B33" s="50">
        <v>0.44</v>
      </c>
      <c r="D33" s="50">
        <v>1300</v>
      </c>
    </row>
    <row r="34" spans="1:5" x14ac:dyDescent="0.2">
      <c r="A34" s="30" t="s">
        <v>93</v>
      </c>
      <c r="B34" s="50">
        <v>0.74</v>
      </c>
      <c r="D34" s="50">
        <v>1600</v>
      </c>
    </row>
    <row r="35" spans="1:5" x14ac:dyDescent="0.2">
      <c r="A35" s="53" t="s">
        <v>94</v>
      </c>
      <c r="B35" s="50">
        <v>1.7</v>
      </c>
      <c r="D35" s="50" t="s">
        <v>8</v>
      </c>
      <c r="E35" s="67"/>
    </row>
    <row r="36" spans="1:5" x14ac:dyDescent="0.2">
      <c r="A36" s="30" t="s">
        <v>95</v>
      </c>
      <c r="B36" s="50">
        <v>0.33500000000000002</v>
      </c>
      <c r="D36" s="50">
        <v>1000</v>
      </c>
    </row>
    <row r="37" spans="1:5" x14ac:dyDescent="0.2">
      <c r="A37" s="30" t="s">
        <v>24</v>
      </c>
      <c r="C37" s="50">
        <v>0.03</v>
      </c>
      <c r="E37" s="49" t="s">
        <v>26</v>
      </c>
    </row>
    <row r="38" spans="1:5" x14ac:dyDescent="0.2">
      <c r="A38" s="30" t="s">
        <v>25</v>
      </c>
      <c r="C38" s="50">
        <v>0.05</v>
      </c>
      <c r="E38" s="49" t="s">
        <v>26</v>
      </c>
    </row>
    <row r="39" spans="1:5" x14ac:dyDescent="0.2">
      <c r="A39" s="30" t="s">
        <v>96</v>
      </c>
      <c r="C39" s="50">
        <v>0.02</v>
      </c>
      <c r="E39" s="49" t="s">
        <v>23</v>
      </c>
    </row>
    <row r="40" spans="1:5" x14ac:dyDescent="0.2">
      <c r="A40" s="30" t="s">
        <v>97</v>
      </c>
      <c r="C40" s="50">
        <v>0.1</v>
      </c>
      <c r="E40" s="49" t="s">
        <v>22</v>
      </c>
    </row>
    <row r="41" spans="1:5" x14ac:dyDescent="0.2">
      <c r="A41" s="30" t="s">
        <v>98</v>
      </c>
      <c r="C41" s="50">
        <v>0.15</v>
      </c>
      <c r="E41" s="49" t="s">
        <v>22</v>
      </c>
    </row>
    <row r="42" spans="1:5" x14ac:dyDescent="0.2">
      <c r="A42" s="30" t="s">
        <v>99</v>
      </c>
      <c r="B42" s="50">
        <v>0.09</v>
      </c>
    </row>
    <row r="43" spans="1:5" x14ac:dyDescent="0.2">
      <c r="A43" s="53" t="s">
        <v>185</v>
      </c>
      <c r="B43" s="50">
        <v>0.05</v>
      </c>
      <c r="E43" s="67" t="s">
        <v>186</v>
      </c>
    </row>
    <row r="44" spans="1:5" x14ac:dyDescent="0.2">
      <c r="A44" s="30" t="s">
        <v>100</v>
      </c>
      <c r="B44" s="50">
        <v>0.17</v>
      </c>
      <c r="D44" s="50">
        <v>1200</v>
      </c>
    </row>
    <row r="45" spans="1:5" x14ac:dyDescent="0.2">
      <c r="A45" s="30" t="s">
        <v>101</v>
      </c>
      <c r="B45" s="50">
        <v>0.05</v>
      </c>
      <c r="D45" s="51"/>
    </row>
    <row r="46" spans="1:5" x14ac:dyDescent="0.2">
      <c r="A46" s="53" t="s">
        <v>182</v>
      </c>
      <c r="B46" s="50">
        <v>0.18</v>
      </c>
      <c r="D46" s="50">
        <v>700</v>
      </c>
      <c r="E46" s="67" t="s">
        <v>184</v>
      </c>
    </row>
    <row r="47" spans="1:5" x14ac:dyDescent="0.2">
      <c r="A47" s="53" t="s">
        <v>183</v>
      </c>
      <c r="B47" s="50">
        <v>0.04</v>
      </c>
      <c r="D47" s="50">
        <v>30</v>
      </c>
    </row>
    <row r="48" spans="1:5" x14ac:dyDescent="0.2">
      <c r="A48" s="53" t="s">
        <v>189</v>
      </c>
      <c r="B48" s="50">
        <v>4.4999999999999998E-2</v>
      </c>
      <c r="D48" s="51">
        <v>275</v>
      </c>
      <c r="E48" s="67" t="s">
        <v>188</v>
      </c>
    </row>
    <row r="49" spans="1:5" x14ac:dyDescent="0.2">
      <c r="A49" s="30" t="s">
        <v>102</v>
      </c>
      <c r="B49" s="50">
        <v>4.2999999999999997E-2</v>
      </c>
    </row>
    <row r="50" spans="1:5" x14ac:dyDescent="0.2">
      <c r="A50" s="30" t="s">
        <v>103</v>
      </c>
      <c r="B50" s="50">
        <v>3.4000000000000002E-2</v>
      </c>
      <c r="E50" s="49" t="s">
        <v>104</v>
      </c>
    </row>
    <row r="51" spans="1:5" x14ac:dyDescent="0.2">
      <c r="A51" s="30" t="s">
        <v>105</v>
      </c>
      <c r="B51" s="50">
        <v>3.5000000000000003E-2</v>
      </c>
      <c r="E51" s="49" t="s">
        <v>104</v>
      </c>
    </row>
    <row r="52" spans="1:5" x14ac:dyDescent="0.2">
      <c r="A52" s="30" t="s">
        <v>106</v>
      </c>
      <c r="B52" s="50">
        <v>3.5999999999999997E-2</v>
      </c>
      <c r="E52" s="49" t="s">
        <v>104</v>
      </c>
    </row>
    <row r="53" spans="1:5" x14ac:dyDescent="0.2">
      <c r="A53" s="30" t="s">
        <v>107</v>
      </c>
      <c r="B53" s="50">
        <v>3.6999999999999998E-2</v>
      </c>
      <c r="E53" s="49" t="s">
        <v>104</v>
      </c>
    </row>
    <row r="54" spans="1:5" x14ac:dyDescent="0.2">
      <c r="A54" s="30" t="s">
        <v>108</v>
      </c>
      <c r="B54" s="50">
        <v>3.7999999999999999E-2</v>
      </c>
      <c r="E54" s="49" t="s">
        <v>104</v>
      </c>
    </row>
    <row r="55" spans="1:5" x14ac:dyDescent="0.2">
      <c r="A55" s="30" t="s">
        <v>109</v>
      </c>
      <c r="C55" s="50">
        <v>1E+16</v>
      </c>
    </row>
    <row r="56" spans="1:5" x14ac:dyDescent="0.2">
      <c r="A56" s="30" t="s">
        <v>110</v>
      </c>
      <c r="B56" s="50">
        <v>3.5000000000000003E-2</v>
      </c>
      <c r="D56" s="50">
        <v>25</v>
      </c>
    </row>
    <row r="57" spans="1:5" x14ac:dyDescent="0.2">
      <c r="A57" s="30" t="s">
        <v>111</v>
      </c>
      <c r="B57" s="50">
        <v>4.2000000000000003E-2</v>
      </c>
      <c r="E57" s="49" t="s">
        <v>112</v>
      </c>
    </row>
    <row r="58" spans="1:5" x14ac:dyDescent="0.2">
      <c r="A58" s="30" t="s">
        <v>113</v>
      </c>
      <c r="B58" s="50">
        <v>3.3000000000000002E-2</v>
      </c>
      <c r="E58" s="49" t="s">
        <v>112</v>
      </c>
    </row>
    <row r="59" spans="1:5" x14ac:dyDescent="0.2">
      <c r="A59" s="30" t="s">
        <v>114</v>
      </c>
      <c r="B59" s="50">
        <v>3.9E-2</v>
      </c>
      <c r="E59" s="49" t="s">
        <v>112</v>
      </c>
    </row>
    <row r="60" spans="1:5" x14ac:dyDescent="0.2">
      <c r="A60" s="30" t="s">
        <v>115</v>
      </c>
      <c r="B60" s="50">
        <v>3.6999999999999998E-2</v>
      </c>
      <c r="D60" s="51"/>
    </row>
    <row r="61" spans="1:5" x14ac:dyDescent="0.2">
      <c r="A61" s="30" t="s">
        <v>116</v>
      </c>
      <c r="B61" s="50">
        <v>3.4000000000000002E-2</v>
      </c>
    </row>
    <row r="62" spans="1:5" x14ac:dyDescent="0.2">
      <c r="A62" s="53" t="s">
        <v>117</v>
      </c>
      <c r="B62" s="50">
        <v>3.6999999999999998E-2</v>
      </c>
      <c r="E62" s="67" t="s">
        <v>118</v>
      </c>
    </row>
    <row r="63" spans="1:5" x14ac:dyDescent="0.2">
      <c r="A63" s="53" t="s">
        <v>119</v>
      </c>
      <c r="B63" s="50">
        <v>3.4000000000000002E-2</v>
      </c>
      <c r="E63" s="67"/>
    </row>
    <row r="64" spans="1:5" x14ac:dyDescent="0.2">
      <c r="A64" s="53" t="s">
        <v>120</v>
      </c>
      <c r="B64" s="50">
        <v>3.6999999999999998E-2</v>
      </c>
      <c r="E64" s="67"/>
    </row>
    <row r="65" spans="1:5" x14ac:dyDescent="0.2">
      <c r="A65" s="53" t="s">
        <v>121</v>
      </c>
      <c r="B65" s="50">
        <v>3.5000000000000003E-2</v>
      </c>
      <c r="D65" s="50" t="s">
        <v>39</v>
      </c>
      <c r="E65" s="67"/>
    </row>
    <row r="66" spans="1:5" x14ac:dyDescent="0.2">
      <c r="A66" s="53" t="s">
        <v>122</v>
      </c>
      <c r="C66" s="50">
        <v>1.7</v>
      </c>
      <c r="E66" s="67" t="s">
        <v>123</v>
      </c>
    </row>
    <row r="67" spans="1:5" x14ac:dyDescent="0.2">
      <c r="A67" s="53" t="s">
        <v>124</v>
      </c>
      <c r="B67" s="50">
        <v>204</v>
      </c>
      <c r="D67" s="50">
        <v>2800</v>
      </c>
    </row>
    <row r="68" spans="1:5" x14ac:dyDescent="0.2">
      <c r="A68" s="53" t="s">
        <v>125</v>
      </c>
      <c r="B68" s="50">
        <v>372</v>
      </c>
      <c r="D68" s="50">
        <v>9000</v>
      </c>
      <c r="E68" s="67"/>
    </row>
    <row r="69" spans="1:5" x14ac:dyDescent="0.2">
      <c r="A69" s="30" t="s">
        <v>126</v>
      </c>
      <c r="B69" s="50">
        <v>45.3</v>
      </c>
      <c r="D69" s="50">
        <v>7800</v>
      </c>
    </row>
    <row r="70" spans="1:5" x14ac:dyDescent="0.2">
      <c r="A70" s="30" t="s">
        <v>127</v>
      </c>
      <c r="B70" s="50">
        <v>17</v>
      </c>
    </row>
    <row r="71" spans="1:5" x14ac:dyDescent="0.2">
      <c r="A71" s="53" t="s">
        <v>128</v>
      </c>
      <c r="B71" s="50">
        <v>50</v>
      </c>
      <c r="E71" s="67" t="s">
        <v>72</v>
      </c>
    </row>
    <row r="72" spans="1:5" x14ac:dyDescent="0.2">
      <c r="A72" s="53" t="s">
        <v>129</v>
      </c>
      <c r="B72" s="50">
        <v>4.8639999999999999</v>
      </c>
      <c r="E72" s="49" t="s">
        <v>130</v>
      </c>
    </row>
    <row r="73" spans="1:5" x14ac:dyDescent="0.2">
      <c r="A73" s="53" t="s">
        <v>131</v>
      </c>
      <c r="B73" s="50">
        <v>6.3887061804185246</v>
      </c>
      <c r="E73" s="67" t="s">
        <v>130</v>
      </c>
    </row>
    <row r="74" spans="1:5" x14ac:dyDescent="0.2">
      <c r="A74" s="30" t="s">
        <v>132</v>
      </c>
      <c r="B74" s="50">
        <v>5.2450000000000001</v>
      </c>
      <c r="E74" s="49" t="s">
        <v>130</v>
      </c>
    </row>
    <row r="75" spans="1:5" x14ac:dyDescent="0.2">
      <c r="A75" s="53" t="s">
        <v>133</v>
      </c>
      <c r="B75" s="50">
        <v>110</v>
      </c>
      <c r="D75" s="50">
        <v>7200</v>
      </c>
      <c r="E75" s="67"/>
    </row>
    <row r="76" spans="1:5" x14ac:dyDescent="0.2">
      <c r="A76" s="53" t="s">
        <v>134</v>
      </c>
      <c r="B76" s="50">
        <v>0.05</v>
      </c>
      <c r="D76" s="50">
        <v>330</v>
      </c>
      <c r="E76" s="67"/>
    </row>
    <row r="77" spans="1:5" x14ac:dyDescent="0.2">
      <c r="A77" s="53" t="s">
        <v>181</v>
      </c>
      <c r="B77" s="50">
        <v>0.13</v>
      </c>
      <c r="D77" s="50">
        <v>930</v>
      </c>
      <c r="E77" s="67"/>
    </row>
    <row r="78" spans="1:5" x14ac:dyDescent="0.2">
      <c r="A78" s="30" t="s">
        <v>135</v>
      </c>
      <c r="B78" s="50">
        <v>0.16</v>
      </c>
      <c r="D78" s="50">
        <v>1190</v>
      </c>
      <c r="E78" s="67"/>
    </row>
    <row r="79" spans="1:5" x14ac:dyDescent="0.2">
      <c r="A79" s="53" t="s">
        <v>136</v>
      </c>
      <c r="B79" s="50">
        <v>0.1</v>
      </c>
      <c r="D79" s="50">
        <v>1100</v>
      </c>
      <c r="E79" s="67"/>
    </row>
    <row r="80" spans="1:5" x14ac:dyDescent="0.2">
      <c r="A80" s="53" t="s">
        <v>180</v>
      </c>
      <c r="B80" s="50">
        <v>0.13</v>
      </c>
      <c r="D80" s="50">
        <v>930</v>
      </c>
    </row>
    <row r="81" spans="1:5" x14ac:dyDescent="0.2">
      <c r="A81" s="30" t="s">
        <v>137</v>
      </c>
      <c r="C81" s="50">
        <v>0.03</v>
      </c>
      <c r="E81" s="49" t="s">
        <v>72</v>
      </c>
    </row>
    <row r="82" spans="1:5" x14ac:dyDescent="0.2">
      <c r="A82" s="53" t="s">
        <v>138</v>
      </c>
      <c r="B82" s="50">
        <v>0.72</v>
      </c>
      <c r="D82" s="51">
        <v>1860</v>
      </c>
      <c r="E82" s="67"/>
    </row>
    <row r="83" spans="1:5" x14ac:dyDescent="0.2">
      <c r="A83" s="53" t="s">
        <v>139</v>
      </c>
      <c r="B83" s="50">
        <v>0.43</v>
      </c>
      <c r="D83" s="51">
        <v>1200</v>
      </c>
      <c r="E83" s="67"/>
    </row>
    <row r="84" spans="1:5" x14ac:dyDescent="0.2">
      <c r="A84" s="30" t="s">
        <v>140</v>
      </c>
      <c r="B84" s="50">
        <v>0.7</v>
      </c>
      <c r="D84" s="50">
        <v>1600</v>
      </c>
    </row>
    <row r="85" spans="1:5" x14ac:dyDescent="0.2">
      <c r="A85" s="30" t="s">
        <v>141</v>
      </c>
      <c r="B85" s="50">
        <v>0.74</v>
      </c>
    </row>
    <row r="86" spans="1:5" x14ac:dyDescent="0.2">
      <c r="A86" s="30" t="s">
        <v>142</v>
      </c>
      <c r="B86" s="50">
        <v>0.17</v>
      </c>
      <c r="D86" s="50" t="s">
        <v>143</v>
      </c>
    </row>
    <row r="87" spans="1:5" x14ac:dyDescent="0.2">
      <c r="A87" s="30" t="s">
        <v>144</v>
      </c>
      <c r="B87" s="50">
        <v>1.9</v>
      </c>
    </row>
    <row r="88" spans="1:5" x14ac:dyDescent="0.2">
      <c r="A88" s="30" t="s">
        <v>145</v>
      </c>
      <c r="B88" s="50">
        <v>0.74</v>
      </c>
      <c r="D88" s="50">
        <v>2100</v>
      </c>
    </row>
    <row r="89" spans="1:5" x14ac:dyDescent="0.2">
      <c r="A89" s="30" t="s">
        <v>146</v>
      </c>
      <c r="B89" s="50">
        <v>0.7</v>
      </c>
      <c r="D89" s="50">
        <v>2100</v>
      </c>
    </row>
    <row r="90" spans="1:5" x14ac:dyDescent="0.2">
      <c r="A90" s="30" t="s">
        <v>147</v>
      </c>
      <c r="B90" s="50">
        <v>0.2</v>
      </c>
      <c r="D90" s="50">
        <v>1050</v>
      </c>
    </row>
    <row r="91" spans="1:5" x14ac:dyDescent="0.2">
      <c r="A91" s="30" t="s">
        <v>148</v>
      </c>
      <c r="B91" s="50">
        <v>0.9</v>
      </c>
      <c r="D91" s="50">
        <v>1900</v>
      </c>
    </row>
    <row r="92" spans="1:5" x14ac:dyDescent="0.2">
      <c r="A92" s="30" t="s">
        <v>149</v>
      </c>
      <c r="B92" s="50">
        <v>0.5</v>
      </c>
    </row>
    <row r="93" spans="1:5" x14ac:dyDescent="0.2">
      <c r="A93" s="30" t="s">
        <v>150</v>
      </c>
      <c r="B93" s="50">
        <v>0.8</v>
      </c>
      <c r="E93" s="49" t="s">
        <v>72</v>
      </c>
    </row>
    <row r="94" spans="1:5" x14ac:dyDescent="0.2">
      <c r="A94" s="30" t="s">
        <v>151</v>
      </c>
      <c r="B94" s="50">
        <v>1</v>
      </c>
      <c r="E94" s="49" t="s">
        <v>72</v>
      </c>
    </row>
    <row r="95" spans="1:5" x14ac:dyDescent="0.2">
      <c r="A95" s="30" t="s">
        <v>152</v>
      </c>
      <c r="B95" s="50">
        <v>0.72799999999999998</v>
      </c>
      <c r="D95" s="50">
        <v>2000</v>
      </c>
      <c r="E95" s="49" t="s">
        <v>187</v>
      </c>
    </row>
    <row r="96" spans="1:5" x14ac:dyDescent="0.2">
      <c r="A96" s="30" t="s">
        <v>153</v>
      </c>
      <c r="B96" s="50">
        <v>0.6</v>
      </c>
    </row>
    <row r="97" spans="1:5" x14ac:dyDescent="0.2">
      <c r="A97" s="30" t="s">
        <v>154</v>
      </c>
      <c r="B97" s="50">
        <v>1.59</v>
      </c>
      <c r="D97" s="51">
        <v>2435</v>
      </c>
    </row>
    <row r="98" spans="1:5" x14ac:dyDescent="0.2">
      <c r="A98" s="30" t="s">
        <v>155</v>
      </c>
      <c r="B98" s="50">
        <v>6.4000000000000001E-2</v>
      </c>
      <c r="D98" s="51">
        <v>1500</v>
      </c>
    </row>
    <row r="99" spans="1:5" x14ac:dyDescent="0.2">
      <c r="A99" s="30" t="s">
        <v>156</v>
      </c>
      <c r="B99" s="50">
        <v>1.5</v>
      </c>
      <c r="E99" s="49" t="s">
        <v>157</v>
      </c>
    </row>
    <row r="100" spans="1:5" x14ac:dyDescent="0.2">
      <c r="A100" s="30" t="s">
        <v>158</v>
      </c>
      <c r="B100" s="50">
        <v>3.5</v>
      </c>
      <c r="D100" s="51"/>
      <c r="E100" s="49" t="s">
        <v>157</v>
      </c>
    </row>
    <row r="101" spans="1:5" x14ac:dyDescent="0.2">
      <c r="A101" s="30" t="s">
        <v>159</v>
      </c>
      <c r="B101" s="50">
        <v>2</v>
      </c>
      <c r="D101" s="51"/>
      <c r="E101" s="49" t="s">
        <v>157</v>
      </c>
    </row>
    <row r="102" spans="1:5" x14ac:dyDescent="0.2">
      <c r="A102" s="30" t="s">
        <v>160</v>
      </c>
      <c r="B102" s="50">
        <v>0.33</v>
      </c>
      <c r="D102" s="51">
        <v>1520</v>
      </c>
    </row>
    <row r="103" spans="1:5" x14ac:dyDescent="0.2">
      <c r="A103" s="30" t="s">
        <v>161</v>
      </c>
      <c r="B103" s="50">
        <v>2.2999999999999998</v>
      </c>
      <c r="D103" s="51"/>
    </row>
    <row r="104" spans="1:5" x14ac:dyDescent="0.2">
      <c r="A104" s="30" t="s">
        <v>162</v>
      </c>
      <c r="B104" s="50">
        <v>0.83</v>
      </c>
      <c r="D104" s="51">
        <v>2290</v>
      </c>
    </row>
    <row r="105" spans="1:5" x14ac:dyDescent="0.2">
      <c r="A105" s="30" t="s">
        <v>163</v>
      </c>
      <c r="B105" s="50">
        <v>3.5</v>
      </c>
      <c r="D105" s="51"/>
    </row>
    <row r="106" spans="1:5" x14ac:dyDescent="0.2">
      <c r="A106" s="30" t="s">
        <v>164</v>
      </c>
      <c r="B106" s="50">
        <v>2.9</v>
      </c>
      <c r="D106" s="51">
        <v>2650</v>
      </c>
    </row>
    <row r="107" spans="1:5" x14ac:dyDescent="0.2">
      <c r="A107" s="30" t="s">
        <v>165</v>
      </c>
      <c r="B107" s="50">
        <v>2</v>
      </c>
      <c r="D107" s="51"/>
    </row>
    <row r="108" spans="1:5" x14ac:dyDescent="0.2">
      <c r="A108" s="30" t="s">
        <v>166</v>
      </c>
      <c r="B108" s="50">
        <v>0.93</v>
      </c>
      <c r="D108" s="51">
        <v>1650</v>
      </c>
    </row>
    <row r="109" spans="1:5" x14ac:dyDescent="0.2">
      <c r="A109" s="30" t="s">
        <v>167</v>
      </c>
      <c r="B109" s="50">
        <v>0.15</v>
      </c>
      <c r="D109" s="51"/>
      <c r="E109" s="49" t="s">
        <v>112</v>
      </c>
    </row>
    <row r="110" spans="1:5" x14ac:dyDescent="0.2">
      <c r="A110" s="30" t="s">
        <v>168</v>
      </c>
      <c r="B110" s="50">
        <v>2.6</v>
      </c>
      <c r="D110" s="51">
        <v>2600</v>
      </c>
    </row>
    <row r="111" spans="1:5" x14ac:dyDescent="0.2">
      <c r="A111" s="30" t="s">
        <v>169</v>
      </c>
      <c r="B111" s="50">
        <v>6.5000000000000002E-2</v>
      </c>
      <c r="D111" s="51">
        <v>200</v>
      </c>
    </row>
    <row r="112" spans="1:5" x14ac:dyDescent="0.2">
      <c r="A112" s="30" t="s">
        <v>170</v>
      </c>
      <c r="B112" s="50">
        <v>4.2000000000000003E-2</v>
      </c>
      <c r="D112" s="51">
        <v>145</v>
      </c>
    </row>
    <row r="113" spans="1:5" x14ac:dyDescent="0.2">
      <c r="A113" s="30" t="s">
        <v>179</v>
      </c>
      <c r="B113" s="50">
        <v>0.18</v>
      </c>
      <c r="D113" s="51"/>
      <c r="E113" s="49" t="s">
        <v>72</v>
      </c>
    </row>
    <row r="114" spans="1:5" x14ac:dyDescent="0.2">
      <c r="A114" s="30" t="s">
        <v>171</v>
      </c>
      <c r="B114" s="50">
        <v>0.14699999999999999</v>
      </c>
      <c r="D114" s="51" t="s">
        <v>172</v>
      </c>
      <c r="E114" s="49" t="s">
        <v>27</v>
      </c>
    </row>
    <row r="115" spans="1:5" x14ac:dyDescent="0.2">
      <c r="A115" s="30" t="s">
        <v>173</v>
      </c>
      <c r="B115" s="50">
        <v>0.14399999999999999</v>
      </c>
      <c r="D115" s="51">
        <v>1010</v>
      </c>
    </row>
    <row r="116" spans="1:5" x14ac:dyDescent="0.2">
      <c r="A116" s="30" t="s">
        <v>174</v>
      </c>
      <c r="B116" s="50">
        <v>0.109</v>
      </c>
      <c r="D116" s="51" t="s">
        <v>175</v>
      </c>
      <c r="E116" s="49" t="s">
        <v>27</v>
      </c>
    </row>
    <row r="117" spans="1:5" x14ac:dyDescent="0.2">
      <c r="A117" s="30" t="s">
        <v>176</v>
      </c>
      <c r="B117" s="50">
        <v>0.121</v>
      </c>
      <c r="D117" s="51" t="s">
        <v>177</v>
      </c>
      <c r="E117" s="49" t="s">
        <v>27</v>
      </c>
    </row>
    <row r="118" spans="1:5" x14ac:dyDescent="0.2">
      <c r="A118" s="30" t="s">
        <v>178</v>
      </c>
      <c r="B118" s="50">
        <v>0.13</v>
      </c>
      <c r="D118" s="51"/>
      <c r="E118" s="49" t="s">
        <v>72</v>
      </c>
    </row>
    <row r="120" spans="1:5" x14ac:dyDescent="0.2">
      <c r="A120" s="53" t="s">
        <v>28</v>
      </c>
    </row>
  </sheetData>
  <phoneticPr fontId="0" type="noConversion"/>
  <hyperlinks>
    <hyperlink ref="E100" r:id="rId1" display="www.epcserver.com" xr:uid="{00000000-0004-0000-0200-000000000000}"/>
    <hyperlink ref="E101" r:id="rId2" display="www.epcserver.com" xr:uid="{00000000-0004-0000-0200-000001000000}"/>
    <hyperlink ref="E97" r:id="rId3" display="www.epcserver.com" xr:uid="{00000000-0004-0000-0200-000002000000}"/>
    <hyperlink ref="E98" r:id="rId4" display="www.epcserver.com" xr:uid="{00000000-0004-0000-0200-000003000000}"/>
  </hyperlinks>
  <pageMargins left="0.75" right="0.75" top="1" bottom="1" header="0.5" footer="0.5"/>
  <pageSetup paperSize="9" orientation="portrait" horizontalDpi="300" verticalDpi="300" r:id="rId5"/>
  <headerFooter alignWithMargins="0"/>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13"/>
  </sheetPr>
  <dimension ref="A1:E20"/>
  <sheetViews>
    <sheetView workbookViewId="0">
      <pane ySplit="1" topLeftCell="A2" activePane="bottomLeft" state="frozen"/>
      <selection pane="bottomLeft"/>
    </sheetView>
  </sheetViews>
  <sheetFormatPr defaultRowHeight="12.75" x14ac:dyDescent="0.2"/>
  <cols>
    <col min="1" max="1" width="62.28515625" style="30" customWidth="1"/>
    <col min="2" max="4" width="10.7109375" style="50" customWidth="1"/>
    <col min="5" max="5" width="10.7109375" style="49" customWidth="1"/>
    <col min="6" max="16384" width="9.140625" style="30"/>
  </cols>
  <sheetData>
    <row r="1" spans="1:5" s="31" customFormat="1" ht="38.25" x14ac:dyDescent="0.2">
      <c r="A1" s="31" t="s">
        <v>2</v>
      </c>
      <c r="B1" s="71" t="s">
        <v>46</v>
      </c>
      <c r="C1" s="71" t="s">
        <v>47</v>
      </c>
      <c r="D1" s="71" t="s">
        <v>57</v>
      </c>
      <c r="E1" s="48" t="s">
        <v>38</v>
      </c>
    </row>
    <row r="2" spans="1:5" x14ac:dyDescent="0.2"/>
    <row r="3" spans="1:5" x14ac:dyDescent="0.2">
      <c r="A3" s="53" t="str">
        <f>"Contact resistance : "&amp;inp_conduitType&amp;" embedded directly in filler layer"</f>
        <v>Contact resistance : Tube embedded directly in filler layer</v>
      </c>
      <c r="B3" s="50" t="s">
        <v>6</v>
      </c>
      <c r="C3" s="50">
        <f>0.01/(PI()*inp_diameter*0.001)</f>
        <v>0.15915494309189532</v>
      </c>
      <c r="D3" s="50" t="s">
        <v>6</v>
      </c>
      <c r="E3" s="67" t="s">
        <v>44</v>
      </c>
    </row>
    <row r="4" spans="1:5" x14ac:dyDescent="0.2">
      <c r="A4" s="30" t="str">
        <f>"Contact resistance : " &amp; inp_conduitType &amp; " in poor contact with bent U-section conducting plate"</f>
        <v>Contact resistance : Tube in poor contact with bent U-section conducting plate</v>
      </c>
      <c r="B4" s="50" t="s">
        <v>6</v>
      </c>
      <c r="C4" s="50">
        <f>0.008/(inp_diameter*0.001*2)</f>
        <v>0.2</v>
      </c>
      <c r="D4" s="50" t="s">
        <v>6</v>
      </c>
      <c r="E4" s="67" t="s">
        <v>45</v>
      </c>
    </row>
    <row r="5" spans="1:5" x14ac:dyDescent="0.2">
      <c r="A5" s="30" t="str">
        <f>"Contact resistance : " &amp; inp_conduitType &amp; " laid in channel in insulation, covered by filler"</f>
        <v>Contact resistance : Tube laid in channel in insulation, covered by filler</v>
      </c>
      <c r="B5" s="50" t="s">
        <v>6</v>
      </c>
      <c r="C5" s="50">
        <f>0.01/(inp_diameter*0.001)</f>
        <v>0.5</v>
      </c>
      <c r="D5" s="50" t="s">
        <v>6</v>
      </c>
      <c r="E5" s="67" t="s">
        <v>45</v>
      </c>
    </row>
    <row r="6" spans="1:5" x14ac:dyDescent="0.2">
      <c r="A6" s="121" t="s">
        <v>190</v>
      </c>
      <c r="B6" s="122" t="s">
        <v>6</v>
      </c>
      <c r="C6" s="50">
        <f>1/(0.025/0.001+5.6)/(PI()*inp_diameter*0.001)</f>
        <v>0.52011419311076912</v>
      </c>
      <c r="D6" s="122" t="s">
        <v>6</v>
      </c>
      <c r="E6" s="67" t="s">
        <v>44</v>
      </c>
    </row>
    <row r="7" spans="1:5" x14ac:dyDescent="0.2">
      <c r="A7" s="121" t="s">
        <v>191</v>
      </c>
      <c r="B7" s="122" t="s">
        <v>6</v>
      </c>
      <c r="C7" s="50">
        <f>1/(0.025/0.001+8.9)/(PI()*inp_diameter*0.001)</f>
        <v>0.46948360794069416</v>
      </c>
      <c r="D7" s="122" t="s">
        <v>6</v>
      </c>
      <c r="E7" s="67" t="s">
        <v>44</v>
      </c>
    </row>
    <row r="8" spans="1:5" x14ac:dyDescent="0.2">
      <c r="A8" s="30" t="str">
        <f>"Contact resistance: String net around " &amp; LOWER(inp_conduitType) &amp; " (very rough estimate)"</f>
        <v>Contact resistance: String net around tube (very rough estimate)</v>
      </c>
      <c r="B8" s="50" t="s">
        <v>6</v>
      </c>
      <c r="C8" s="50">
        <f>0.006/(PI()*inp_diameter*0.001)</f>
        <v>9.5492965855137196E-2</v>
      </c>
      <c r="D8" s="50" t="s">
        <v>6</v>
      </c>
      <c r="E8" s="67" t="s">
        <v>44</v>
      </c>
    </row>
    <row r="9" spans="1:5" x14ac:dyDescent="0.2">
      <c r="A9" s="30" t="str">
        <f>"Free " &amp; LOWER(inp_conduitType) &amp; " surrounded by air"</f>
        <v>Free tube surrounded by air</v>
      </c>
      <c r="B9" s="50" t="s">
        <v>6</v>
      </c>
      <c r="C9" s="50" t="s">
        <v>14</v>
      </c>
      <c r="D9" s="50" t="s">
        <v>6</v>
      </c>
    </row>
    <row r="10" spans="1:5" x14ac:dyDescent="0.2">
      <c r="A10" s="30" t="str">
        <f>inp_conduitType &amp;" embedded directly in filler layer"</f>
        <v>Tube embedded directly in filler layer</v>
      </c>
      <c r="B10" s="50" t="s">
        <v>6</v>
      </c>
      <c r="C10" s="51" t="s">
        <v>59</v>
      </c>
      <c r="D10" s="51" t="s">
        <v>6</v>
      </c>
      <c r="E10" s="67" t="s">
        <v>58</v>
      </c>
    </row>
    <row r="11" spans="1:5" x14ac:dyDescent="0.2">
      <c r="A11" s="30" t="str">
        <f>inp_conduitType &amp;" in ideal good contact with conductor layer"</f>
        <v>Tube in ideal good contact with conductor layer</v>
      </c>
      <c r="B11" s="50" t="s">
        <v>6</v>
      </c>
      <c r="C11" s="50">
        <v>0</v>
      </c>
      <c r="D11" s="78" t="s">
        <v>6</v>
      </c>
      <c r="E11" s="67" t="s">
        <v>44</v>
      </c>
    </row>
    <row r="12" spans="1:5" x14ac:dyDescent="0.2">
      <c r="A12" s="53" t="str">
        <f>inp_conduitType&amp;" wall : Copper"</f>
        <v>Tube wall : Copper</v>
      </c>
      <c r="B12" s="50">
        <v>390</v>
      </c>
      <c r="C12" s="78" t="s">
        <v>6</v>
      </c>
      <c r="D12" s="50">
        <v>1.5E-3</v>
      </c>
      <c r="E12" s="67" t="s">
        <v>43</v>
      </c>
    </row>
    <row r="13" spans="1:5" x14ac:dyDescent="0.2">
      <c r="A13" s="53" t="str">
        <f>inp_conduitType&amp;" wall : PB"</f>
        <v>Tube wall : PB</v>
      </c>
      <c r="B13" s="50">
        <v>0.22</v>
      </c>
      <c r="C13" s="50" t="s">
        <v>6</v>
      </c>
      <c r="D13" s="50">
        <v>1.5E-3</v>
      </c>
      <c r="E13" s="67" t="s">
        <v>43</v>
      </c>
    </row>
    <row r="14" spans="1:5" x14ac:dyDescent="0.2">
      <c r="A14" s="53" t="str">
        <f>inp_conduitType&amp;" wall : PE-X"</f>
        <v>Tube wall : PE-X</v>
      </c>
      <c r="B14" s="50">
        <v>0.35</v>
      </c>
      <c r="C14" s="50" t="s">
        <v>6</v>
      </c>
      <c r="D14" s="50">
        <v>1.5E-3</v>
      </c>
      <c r="E14" s="67" t="s">
        <v>43</v>
      </c>
    </row>
    <row r="15" spans="1:5" x14ac:dyDescent="0.2">
      <c r="A15" s="53" t="str">
        <f>inp_conduitType&amp;" wall : PP"</f>
        <v>Tube wall : PP</v>
      </c>
      <c r="B15" s="50">
        <v>0.22</v>
      </c>
      <c r="C15" s="50" t="s">
        <v>6</v>
      </c>
      <c r="D15" s="50">
        <v>1.5E-3</v>
      </c>
      <c r="E15" s="67" t="s">
        <v>43</v>
      </c>
    </row>
    <row r="16" spans="1:5" x14ac:dyDescent="0.2">
      <c r="A16" s="53" t="str">
        <f>inp_conduitType&amp;" wall : Rotex 1.5 air gap"</f>
        <v>Tube wall : Rotex 1.5 air gap</v>
      </c>
      <c r="B16" s="50">
        <v>3.576E-2</v>
      </c>
      <c r="C16" s="78" t="s">
        <v>6</v>
      </c>
      <c r="D16" s="78" t="s">
        <v>6</v>
      </c>
      <c r="E16" s="123" t="s">
        <v>192</v>
      </c>
    </row>
    <row r="17" spans="1:5" x14ac:dyDescent="0.2">
      <c r="A17" s="53" t="str">
        <f>inp_conduitType&amp;" wall : Steel"</f>
        <v>Tube wall : Steel</v>
      </c>
      <c r="B17" s="50">
        <v>52</v>
      </c>
      <c r="C17" s="50" t="s">
        <v>6</v>
      </c>
      <c r="D17" s="50">
        <v>0.04</v>
      </c>
      <c r="E17" s="67" t="s">
        <v>43</v>
      </c>
    </row>
    <row r="18" spans="1:5" x14ac:dyDescent="0.2">
      <c r="A18" s="121"/>
      <c r="B18" s="122"/>
      <c r="D18" s="122"/>
      <c r="E18" s="67"/>
    </row>
    <row r="20" spans="1:5" x14ac:dyDescent="0.2">
      <c r="A20" s="30" t="s">
        <v>28</v>
      </c>
    </row>
  </sheetData>
  <phoneticPr fontId="0"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13"/>
  </sheetPr>
  <dimension ref="A1:E20"/>
  <sheetViews>
    <sheetView workbookViewId="0">
      <pane ySplit="1" topLeftCell="A2" activePane="bottomLeft" state="frozen"/>
      <selection pane="bottomLeft"/>
    </sheetView>
  </sheetViews>
  <sheetFormatPr defaultRowHeight="12.75" x14ac:dyDescent="0.2"/>
  <cols>
    <col min="1" max="1" width="45.85546875" style="30" bestFit="1" customWidth="1"/>
    <col min="2" max="4" width="10.7109375" style="32" customWidth="1"/>
    <col min="5" max="5" width="10.7109375" style="49" customWidth="1"/>
    <col min="6" max="16384" width="9.140625" style="30"/>
  </cols>
  <sheetData>
    <row r="1" spans="1:5" s="31" customFormat="1" ht="25.5" x14ac:dyDescent="0.2">
      <c r="A1" s="31" t="s">
        <v>2</v>
      </c>
      <c r="B1" s="71" t="s">
        <v>52</v>
      </c>
      <c r="C1" s="71" t="s">
        <v>53</v>
      </c>
      <c r="D1" s="71" t="s">
        <v>51</v>
      </c>
      <c r="E1" s="48" t="s">
        <v>38</v>
      </c>
    </row>
    <row r="2" spans="1:5" x14ac:dyDescent="0.2"/>
    <row r="3" spans="1:5" x14ac:dyDescent="0.2">
      <c r="A3" s="53" t="s">
        <v>55</v>
      </c>
      <c r="B3" s="32">
        <v>8.92</v>
      </c>
      <c r="D3" s="32">
        <v>1.1000000000000001</v>
      </c>
      <c r="E3" s="67" t="s">
        <v>45</v>
      </c>
    </row>
    <row r="4" spans="1:5" x14ac:dyDescent="0.2">
      <c r="A4" s="30" t="s">
        <v>15</v>
      </c>
      <c r="C4" s="32">
        <v>0.13</v>
      </c>
      <c r="E4" s="49" t="s">
        <v>26</v>
      </c>
    </row>
    <row r="5" spans="1:5" x14ac:dyDescent="0.2">
      <c r="A5" s="53" t="s">
        <v>54</v>
      </c>
      <c r="B5" s="32">
        <v>8.92</v>
      </c>
      <c r="D5" s="32">
        <v>1.1000000000000001</v>
      </c>
      <c r="E5" s="67" t="s">
        <v>45</v>
      </c>
    </row>
    <row r="6" spans="1:5" x14ac:dyDescent="0.2">
      <c r="A6" s="30" t="s">
        <v>16</v>
      </c>
      <c r="C6" s="32">
        <v>0.16200000000000001</v>
      </c>
    </row>
    <row r="7" spans="1:5" x14ac:dyDescent="0.2">
      <c r="A7" s="30" t="s">
        <v>17</v>
      </c>
      <c r="C7" s="32">
        <v>0.80100000000000005</v>
      </c>
    </row>
    <row r="8" spans="1:5" x14ac:dyDescent="0.2">
      <c r="A8" s="30" t="s">
        <v>13</v>
      </c>
      <c r="C8" s="32">
        <v>5.5E-2</v>
      </c>
    </row>
    <row r="9" spans="1:5" x14ac:dyDescent="0.2">
      <c r="A9" s="53" t="s">
        <v>195</v>
      </c>
      <c r="C9" s="32">
        <v>0.04</v>
      </c>
      <c r="E9" s="67" t="s">
        <v>67</v>
      </c>
    </row>
    <row r="20" spans="1:1" x14ac:dyDescent="0.2">
      <c r="A20" s="30" t="s">
        <v>28</v>
      </c>
    </row>
  </sheetData>
  <phoneticPr fontId="0" type="noConversion"/>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50</vt:i4>
      </vt:variant>
    </vt:vector>
  </HeadingPairs>
  <TitlesOfParts>
    <vt:vector size="55" baseType="lpstr">
      <vt:lpstr>Design</vt:lpstr>
      <vt:lpstr>Draw</vt:lpstr>
      <vt:lpstr>Materials_library</vt:lpstr>
      <vt:lpstr>Tube+Cable_library</vt:lpstr>
      <vt:lpstr>Surface_library</vt:lpstr>
      <vt:lpstr>Conduit_data</vt:lpstr>
      <vt:lpstr>Conduit_ID</vt:lpstr>
      <vt:lpstr>draw_Labelling</vt:lpstr>
      <vt:lpstr>inp_area</vt:lpstr>
      <vt:lpstr>inp_ccSpacing</vt:lpstr>
      <vt:lpstr>inp_conductLayerRow</vt:lpstr>
      <vt:lpstr>inp_conduitDepth</vt:lpstr>
      <vt:lpstr>inp_conduitTable</vt:lpstr>
      <vt:lpstr>inp_conduitType</vt:lpstr>
      <vt:lpstr>inp_constructTable</vt:lpstr>
      <vt:lpstr>inp_diameter</vt:lpstr>
      <vt:lpstr>inp_flowrate</vt:lpstr>
      <vt:lpstr>inp_fractionConducting</vt:lpstr>
      <vt:lpstr>inp_surfaceType</vt:lpstr>
      <vt:lpstr>inp_systemType</vt:lpstr>
      <vt:lpstr>inp_Tdown</vt:lpstr>
      <vt:lpstr>inp_Tin</vt:lpstr>
      <vt:lpstr>inp_Tin_units</vt:lpstr>
      <vt:lpstr>inp_Tup</vt:lpstr>
      <vt:lpstr>Surface_library!Mat_lib</vt:lpstr>
      <vt:lpstr>Material_data</vt:lpstr>
      <vt:lpstr>Material_ID</vt:lpstr>
      <vt:lpstr>Surface_library!Materials</vt:lpstr>
      <vt:lpstr>out_all</vt:lpstr>
      <vt:lpstr>out_comments</vt:lpstr>
      <vt:lpstr>out_geoBmm</vt:lpstr>
      <vt:lpstr>out_geoDi</vt:lpstr>
      <vt:lpstr>out_geoFinK</vt:lpstr>
      <vt:lpstr>out_geoLen</vt:lpstr>
      <vt:lpstr>out_insideConduct</vt:lpstr>
      <vt:lpstr>out_insideConduit</vt:lpstr>
      <vt:lpstr>out_perfFinEff</vt:lpstr>
      <vt:lpstr>out_perfLoss</vt:lpstr>
      <vt:lpstr>out_perfNetWm2</vt:lpstr>
      <vt:lpstr>out_perfThermEff</vt:lpstr>
      <vt:lpstr>out_perfW</vt:lpstr>
      <vt:lpstr>out_perfWm2</vt:lpstr>
      <vt:lpstr>out_surfDT</vt:lpstr>
      <vt:lpstr>out_surfMax</vt:lpstr>
      <vt:lpstr>out_surfMean</vt:lpstr>
      <vt:lpstr>out_waterDp</vt:lpstr>
      <vt:lpstr>out_waterDT</vt:lpstr>
      <vt:lpstr>out_waterPtot</vt:lpstr>
      <vt:lpstr>out_waterRe</vt:lpstr>
      <vt:lpstr>out_waterTo</vt:lpstr>
      <vt:lpstr>out_waterVel</vt:lpstr>
      <vt:lpstr>Design!Print_Area</vt:lpstr>
      <vt:lpstr>Draw!Print_Area</vt:lpstr>
      <vt:lpstr>Surface_data</vt:lpstr>
      <vt:lpstr>Surface_ID</vt:lpstr>
    </vt:vector>
  </TitlesOfParts>
  <Company>SINTEF Byggforsk (SINTEF Building &amp; Infrastructure)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Thermal model of floor heating</dc:title>
  <dc:creator>Peter G. Schild</dc:creator>
  <cp:lastModifiedBy>Peter G. Schild</cp:lastModifiedBy>
  <cp:lastPrinted>2018-08-10T10:58:27Z</cp:lastPrinted>
  <dcterms:created xsi:type="dcterms:W3CDTF">2000-11-20T12:09:01Z</dcterms:created>
  <dcterms:modified xsi:type="dcterms:W3CDTF">2018-08-10T11:31:01Z</dcterms:modified>
</cp:coreProperties>
</file>